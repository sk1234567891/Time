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330" codeName="{61638066-69CD-5DBD-CD94-FFEC8A4DF156}"/>
  <workbookPr codeName="ThisWorkbook"/>
  <mc:AlternateContent xmlns:mc="http://schemas.openxmlformats.org/markup-compatibility/2006">
    <mc:Choice Requires="x15">
      <x15ac:absPath xmlns:x15ac="http://schemas.microsoft.com/office/spreadsheetml/2010/11/ac" url="D:\time\ex\"/>
    </mc:Choice>
  </mc:AlternateContent>
  <xr:revisionPtr revIDLastSave="0" documentId="10_ncr:8180000_{36C84670-D933-4799-BC80-2E8CF2E1B8DB}" xr6:coauthVersionLast="33" xr6:coauthVersionMax="33" xr10:uidLastSave="{00000000-0000-0000-0000-000000000000}"/>
  <bookViews>
    <workbookView xWindow="0" yWindow="0" windowWidth="18870" windowHeight="7665" activeTab="3" xr2:uid="{00000000-000D-0000-FFFF-FFFF00000000}"/>
  </bookViews>
  <sheets>
    <sheet name="ממיר תאריך עברי ללועזי" sheetId="4" r:id="rId1"/>
    <sheet name="גיליון1" sheetId="5" r:id="rId2"/>
    <sheet name="גיליון2" sheetId="6" r:id="rId3"/>
    <sheet name="גיליון3" sheetId="7" r:id="rId4"/>
    <sheet name="Holidays" sheetId="8" r:id="rId5"/>
    <sheet name="גיליון4" sheetId="10" r:id="rId6"/>
  </sheets>
  <functionGroups builtInGroupCount="19"/>
  <definedNames>
    <definedName name="HebMonths">'ממיר תאריך עברי ללועזי'!$A$26:$A$39</definedName>
    <definedName name="todaytimes" localSheetId="1">גיליון1!$A$1:$B$89</definedName>
  </definedNames>
  <calcPr calcId="162913"/>
</workbook>
</file>

<file path=xl/calcChain.xml><?xml version="1.0" encoding="utf-8"?>
<calcChain xmlns="http://schemas.openxmlformats.org/spreadsheetml/2006/main">
  <c r="A5" i="6" l="1"/>
  <c r="A6" i="6"/>
  <c r="F6" i="6" l="1"/>
  <c r="F5" i="6"/>
  <c r="F4" i="6"/>
  <c r="F3" i="6"/>
  <c r="G2" i="8" l="1"/>
  <c r="T19" i="10" l="1"/>
  <c r="T23" i="10"/>
  <c r="T22" i="10"/>
  <c r="T20" i="10"/>
  <c r="C14" i="7" l="1"/>
  <c r="H2" i="8" l="1"/>
  <c r="M2" i="10" l="1"/>
  <c r="L2" i="10"/>
  <c r="B2" i="10"/>
  <c r="K2" i="10"/>
  <c r="J2" i="10"/>
  <c r="I2" i="10"/>
  <c r="G2" i="10"/>
  <c r="F2" i="10"/>
  <c r="A2" i="10"/>
  <c r="C2" i="10"/>
  <c r="D2" i="10"/>
  <c r="E2" i="10"/>
  <c r="I2" i="8" l="1"/>
  <c r="S9" i="10" s="1"/>
  <c r="S3" i="10" l="1"/>
  <c r="S7" i="10"/>
  <c r="S11" i="10"/>
  <c r="S15" i="10"/>
  <c r="S4" i="10"/>
  <c r="S8" i="10"/>
  <c r="S12" i="10"/>
  <c r="S16" i="10"/>
  <c r="S5" i="10"/>
  <c r="S13" i="10"/>
  <c r="S6" i="10"/>
  <c r="S10" i="10"/>
  <c r="S14" i="10"/>
  <c r="I4" i="8"/>
  <c r="I9" i="8"/>
  <c r="I8" i="8"/>
  <c r="I7" i="8"/>
  <c r="I6" i="8"/>
  <c r="I5" i="8"/>
  <c r="I3" i="8"/>
  <c r="T21" i="10" l="1"/>
  <c r="T18" i="10"/>
  <c r="X3" i="10"/>
  <c r="V3" i="10"/>
  <c r="W3" i="10"/>
  <c r="T3" i="10"/>
  <c r="U3" i="10"/>
  <c r="E192" i="8"/>
  <c r="E182" i="8"/>
  <c r="E240" i="8"/>
  <c r="E232" i="8"/>
  <c r="E224" i="8"/>
  <c r="E216" i="8"/>
  <c r="E208" i="8"/>
  <c r="E200" i="8"/>
  <c r="E184" i="8"/>
  <c r="E230" i="8"/>
  <c r="E214" i="8"/>
  <c r="E198" i="8"/>
  <c r="E196" i="8"/>
  <c r="E239" i="8"/>
  <c r="E231" i="8"/>
  <c r="E223" i="8"/>
  <c r="E215" i="8"/>
  <c r="E207" i="8"/>
  <c r="E199" i="8"/>
  <c r="E191" i="8"/>
  <c r="E183" i="8"/>
  <c r="E238" i="8"/>
  <c r="E222" i="8"/>
  <c r="E206" i="8"/>
  <c r="E190" i="8"/>
  <c r="E188" i="8"/>
  <c r="E237" i="8"/>
  <c r="E229" i="8"/>
  <c r="E221" i="8"/>
  <c r="E213" i="8"/>
  <c r="E205" i="8"/>
  <c r="E197" i="8"/>
  <c r="E189" i="8"/>
  <c r="E236" i="8"/>
  <c r="E228" i="8"/>
  <c r="E220" i="8"/>
  <c r="E212" i="8"/>
  <c r="E204" i="8"/>
  <c r="E235" i="8"/>
  <c r="E227" i="8"/>
  <c r="E219" i="8"/>
  <c r="E211" i="8"/>
  <c r="E203" i="8"/>
  <c r="E195" i="8"/>
  <c r="E187" i="8"/>
  <c r="E233" i="8"/>
  <c r="E225" i="8"/>
  <c r="E209" i="8"/>
  <c r="E193" i="8"/>
  <c r="E234" i="8"/>
  <c r="E226" i="8"/>
  <c r="E218" i="8"/>
  <c r="E210" i="8"/>
  <c r="E202" i="8"/>
  <c r="E194" i="8"/>
  <c r="E186" i="8"/>
  <c r="E241" i="8"/>
  <c r="E217" i="8"/>
  <c r="E201" i="8"/>
  <c r="E185" i="8"/>
  <c r="E421" i="8"/>
  <c r="E413" i="8"/>
  <c r="E405" i="8"/>
  <c r="E397" i="8"/>
  <c r="E389" i="8"/>
  <c r="E381" i="8"/>
  <c r="E373" i="8"/>
  <c r="E365" i="8"/>
  <c r="E357" i="8"/>
  <c r="E349" i="8"/>
  <c r="E341" i="8"/>
  <c r="E333" i="8"/>
  <c r="E325" i="8"/>
  <c r="E317" i="8"/>
  <c r="E309" i="8"/>
  <c r="E301" i="8"/>
  <c r="E293" i="8"/>
  <c r="E285" i="8"/>
  <c r="E277" i="8"/>
  <c r="E269" i="8"/>
  <c r="E261" i="8"/>
  <c r="E253" i="8"/>
  <c r="E245" i="8"/>
  <c r="E177" i="8"/>
  <c r="E169" i="8"/>
  <c r="E161" i="8"/>
  <c r="E153" i="8"/>
  <c r="E145" i="8"/>
  <c r="E137" i="8"/>
  <c r="E129" i="8"/>
  <c r="E121" i="8"/>
  <c r="E113" i="8"/>
  <c r="E105" i="8"/>
  <c r="E97" i="8"/>
  <c r="E89" i="8"/>
  <c r="E81" i="8"/>
  <c r="E73" i="8"/>
  <c r="E65" i="8"/>
  <c r="E57" i="8"/>
  <c r="E49" i="8"/>
  <c r="E33" i="8"/>
  <c r="E17" i="8"/>
  <c r="E420" i="8"/>
  <c r="E412" i="8"/>
  <c r="E404" i="8"/>
  <c r="E396" i="8"/>
  <c r="E388" i="8"/>
  <c r="E380" i="8"/>
  <c r="E372" i="8"/>
  <c r="E364" i="8"/>
  <c r="E356" i="8"/>
  <c r="E348" i="8"/>
  <c r="E340" i="8"/>
  <c r="E332" i="8"/>
  <c r="E324" i="8"/>
  <c r="E316" i="8"/>
  <c r="E308" i="8"/>
  <c r="E300" i="8"/>
  <c r="E292" i="8"/>
  <c r="E284" i="8"/>
  <c r="E276" i="8"/>
  <c r="E268" i="8"/>
  <c r="E260" i="8"/>
  <c r="E252" i="8"/>
  <c r="E244" i="8"/>
  <c r="E176" i="8"/>
  <c r="E168" i="8"/>
  <c r="E160" i="8"/>
  <c r="E152" i="8"/>
  <c r="E144" i="8"/>
  <c r="E136" i="8"/>
  <c r="E128" i="8"/>
  <c r="E120" i="8"/>
  <c r="E112" i="8"/>
  <c r="E104" i="8"/>
  <c r="E96" i="8"/>
  <c r="E88" i="8"/>
  <c r="E80" i="8"/>
  <c r="E72" i="8"/>
  <c r="E64" i="8"/>
  <c r="E56" i="8"/>
  <c r="E48" i="8"/>
  <c r="E40" i="8"/>
  <c r="E32" i="8"/>
  <c r="E24" i="8"/>
  <c r="E16" i="8"/>
  <c r="E8" i="8"/>
  <c r="E419" i="8"/>
  <c r="E411" i="8"/>
  <c r="E403" i="8"/>
  <c r="E395" i="8"/>
  <c r="E387" i="8"/>
  <c r="E379" i="8"/>
  <c r="E371" i="8"/>
  <c r="E363" i="8"/>
  <c r="E355" i="8"/>
  <c r="E347" i="8"/>
  <c r="E339" i="8"/>
  <c r="E331" i="8"/>
  <c r="E323" i="8"/>
  <c r="E315" i="8"/>
  <c r="E307" i="8"/>
  <c r="E299" i="8"/>
  <c r="E291" i="8"/>
  <c r="E283" i="8"/>
  <c r="E275" i="8"/>
  <c r="E267" i="8"/>
  <c r="E259" i="8"/>
  <c r="E251" i="8"/>
  <c r="E243" i="8"/>
  <c r="E175" i="8"/>
  <c r="E167" i="8"/>
  <c r="E159" i="8"/>
  <c r="E151" i="8"/>
  <c r="E143" i="8"/>
  <c r="E135" i="8"/>
  <c r="E127" i="8"/>
  <c r="E119" i="8"/>
  <c r="E111" i="8"/>
  <c r="E103" i="8"/>
  <c r="E95" i="8"/>
  <c r="E87" i="8"/>
  <c r="E79" i="8"/>
  <c r="E71" i="8"/>
  <c r="E63" i="8"/>
  <c r="E55" i="8"/>
  <c r="E47" i="8"/>
  <c r="E39" i="8"/>
  <c r="E31" i="8"/>
  <c r="E23" i="8"/>
  <c r="E15" i="8"/>
  <c r="E7" i="8"/>
  <c r="E391" i="8"/>
  <c r="E375" i="8"/>
  <c r="E335" i="8"/>
  <c r="E311" i="8"/>
  <c r="E295" i="8"/>
  <c r="E255" i="8"/>
  <c r="E171" i="8"/>
  <c r="E131" i="8"/>
  <c r="E91" i="8"/>
  <c r="E43" i="8"/>
  <c r="E3" i="8"/>
  <c r="E418" i="8"/>
  <c r="E410" i="8"/>
  <c r="E402" i="8"/>
  <c r="E394" i="8"/>
  <c r="E386" i="8"/>
  <c r="E378" i="8"/>
  <c r="E370" i="8"/>
  <c r="E362" i="8"/>
  <c r="E354" i="8"/>
  <c r="E346" i="8"/>
  <c r="E338" i="8"/>
  <c r="E330" i="8"/>
  <c r="E322" i="8"/>
  <c r="E314" i="8"/>
  <c r="E306" i="8"/>
  <c r="E298" i="8"/>
  <c r="E290" i="8"/>
  <c r="E282" i="8"/>
  <c r="E274" i="8"/>
  <c r="E266" i="8"/>
  <c r="E258" i="8"/>
  <c r="E250" i="8"/>
  <c r="E242" i="8"/>
  <c r="E174" i="8"/>
  <c r="E166" i="8"/>
  <c r="E158" i="8"/>
  <c r="E150" i="8"/>
  <c r="E142" i="8"/>
  <c r="E134" i="8"/>
  <c r="E126" i="8"/>
  <c r="E118" i="8"/>
  <c r="E110" i="8"/>
  <c r="E102" i="8"/>
  <c r="E94" i="8"/>
  <c r="E86" i="8"/>
  <c r="E78" i="8"/>
  <c r="E70" i="8"/>
  <c r="E62" i="8"/>
  <c r="E54" i="8"/>
  <c r="E46" i="8"/>
  <c r="E38" i="8"/>
  <c r="E30" i="8"/>
  <c r="E22" i="8"/>
  <c r="E14" i="8"/>
  <c r="E6" i="8"/>
  <c r="E399" i="8"/>
  <c r="E359" i="8"/>
  <c r="E319" i="8"/>
  <c r="E287" i="8"/>
  <c r="E247" i="8"/>
  <c r="E147" i="8"/>
  <c r="E99" i="8"/>
  <c r="E59" i="8"/>
  <c r="E19" i="8"/>
  <c r="E417" i="8"/>
  <c r="E409" i="8"/>
  <c r="E401" i="8"/>
  <c r="E393" i="8"/>
  <c r="E385" i="8"/>
  <c r="E377" i="8"/>
  <c r="E369" i="8"/>
  <c r="E361" i="8"/>
  <c r="E353" i="8"/>
  <c r="E345" i="8"/>
  <c r="E337" i="8"/>
  <c r="E329" i="8"/>
  <c r="E321" i="8"/>
  <c r="E313" i="8"/>
  <c r="E305" i="8"/>
  <c r="E297" i="8"/>
  <c r="E289" i="8"/>
  <c r="E281" i="8"/>
  <c r="E273" i="8"/>
  <c r="E265" i="8"/>
  <c r="E257" i="8"/>
  <c r="E249" i="8"/>
  <c r="E181" i="8"/>
  <c r="E173" i="8"/>
  <c r="E165" i="8"/>
  <c r="E157" i="8"/>
  <c r="E149" i="8"/>
  <c r="E141" i="8"/>
  <c r="E133" i="8"/>
  <c r="E125" i="8"/>
  <c r="E117" i="8"/>
  <c r="E109" i="8"/>
  <c r="E101" i="8"/>
  <c r="E93" i="8"/>
  <c r="E85" i="8"/>
  <c r="E77" i="8"/>
  <c r="E69" i="8"/>
  <c r="E61" i="8"/>
  <c r="E53" i="8"/>
  <c r="E45" i="8"/>
  <c r="E37" i="8"/>
  <c r="E29" i="8"/>
  <c r="E21" i="8"/>
  <c r="E13" i="8"/>
  <c r="E5" i="8"/>
  <c r="E407" i="8"/>
  <c r="E367" i="8"/>
  <c r="E327" i="8"/>
  <c r="E279" i="8"/>
  <c r="E163" i="8"/>
  <c r="E123" i="8"/>
  <c r="E83" i="8"/>
  <c r="E51" i="8"/>
  <c r="E11" i="8"/>
  <c r="E416" i="8"/>
  <c r="E408" i="8"/>
  <c r="E400" i="8"/>
  <c r="E392" i="8"/>
  <c r="E384" i="8"/>
  <c r="E376" i="8"/>
  <c r="E368" i="8"/>
  <c r="E360" i="8"/>
  <c r="E352" i="8"/>
  <c r="E344" i="8"/>
  <c r="E336" i="8"/>
  <c r="E328" i="8"/>
  <c r="E320" i="8"/>
  <c r="E312" i="8"/>
  <c r="E304" i="8"/>
  <c r="E296" i="8"/>
  <c r="E288" i="8"/>
  <c r="E280" i="8"/>
  <c r="E272" i="8"/>
  <c r="E264" i="8"/>
  <c r="E256" i="8"/>
  <c r="E248" i="8"/>
  <c r="E180" i="8"/>
  <c r="E172" i="8"/>
  <c r="E164" i="8"/>
  <c r="E156" i="8"/>
  <c r="E148" i="8"/>
  <c r="E140" i="8"/>
  <c r="E132" i="8"/>
  <c r="E124" i="8"/>
  <c r="E116" i="8"/>
  <c r="E108" i="8"/>
  <c r="E100" i="8"/>
  <c r="E92" i="8"/>
  <c r="E84" i="8"/>
  <c r="E76" i="8"/>
  <c r="E68" i="8"/>
  <c r="E60" i="8"/>
  <c r="E52" i="8"/>
  <c r="E44" i="8"/>
  <c r="E36" i="8"/>
  <c r="E28" i="8"/>
  <c r="E20" i="8"/>
  <c r="E12" i="8"/>
  <c r="E4" i="8"/>
  <c r="E415" i="8"/>
  <c r="E383" i="8"/>
  <c r="E343" i="8"/>
  <c r="E303" i="8"/>
  <c r="E263" i="8"/>
  <c r="E179" i="8"/>
  <c r="E139" i="8"/>
  <c r="E107" i="8"/>
  <c r="E67" i="8"/>
  <c r="E27" i="8"/>
  <c r="E414" i="8"/>
  <c r="E406" i="8"/>
  <c r="E398" i="8"/>
  <c r="E390" i="8"/>
  <c r="E382" i="8"/>
  <c r="E374" i="8"/>
  <c r="E366" i="8"/>
  <c r="E358" i="8"/>
  <c r="E350" i="8"/>
  <c r="E342" i="8"/>
  <c r="E334" i="8"/>
  <c r="E326" i="8"/>
  <c r="E318" i="8"/>
  <c r="E310" i="8"/>
  <c r="E302" i="8"/>
  <c r="E294" i="8"/>
  <c r="E286" i="8"/>
  <c r="E278" i="8"/>
  <c r="E270" i="8"/>
  <c r="E262" i="8"/>
  <c r="E254" i="8"/>
  <c r="E246" i="8"/>
  <c r="E178" i="8"/>
  <c r="E170" i="8"/>
  <c r="E162" i="8"/>
  <c r="E154" i="8"/>
  <c r="E146" i="8"/>
  <c r="E138" i="8"/>
  <c r="E130" i="8"/>
  <c r="E122" i="8"/>
  <c r="E114" i="8"/>
  <c r="E106" i="8"/>
  <c r="E98" i="8"/>
  <c r="E90" i="8"/>
  <c r="E82" i="8"/>
  <c r="E74" i="8"/>
  <c r="E66" i="8"/>
  <c r="E58" i="8"/>
  <c r="E50" i="8"/>
  <c r="E42" i="8"/>
  <c r="E34" i="8"/>
  <c r="E26" i="8"/>
  <c r="E18" i="8"/>
  <c r="E10" i="8"/>
  <c r="E2" i="8"/>
  <c r="E41" i="8"/>
  <c r="E25" i="8"/>
  <c r="E9" i="8"/>
  <c r="E351" i="8"/>
  <c r="E271" i="8"/>
  <c r="E155" i="8"/>
  <c r="E115" i="8"/>
  <c r="E75" i="8"/>
  <c r="E35" i="8"/>
  <c r="Q3" i="10" l="1"/>
  <c r="C13" i="7" s="1"/>
  <c r="Q2" i="10"/>
  <c r="A1" i="6" l="1"/>
  <c r="K1" i="4"/>
  <c r="B3" i="4"/>
  <c r="B23" i="6" l="1"/>
  <c r="B24" i="6"/>
  <c r="B25" i="6"/>
  <c r="B26" i="6"/>
  <c r="B27" i="6"/>
  <c r="B28" i="6"/>
  <c r="B29" i="6"/>
  <c r="B30" i="6"/>
  <c r="B31" i="6"/>
  <c r="B32" i="6"/>
  <c r="B33" i="6"/>
  <c r="B34" i="6"/>
  <c r="B35" i="6"/>
  <c r="B36" i="6"/>
  <c r="B37" i="6"/>
  <c r="B38" i="6"/>
  <c r="B39" i="6"/>
  <c r="B1" i="6" l="1"/>
  <c r="A9" i="6"/>
  <c r="A30" i="6" s="1"/>
  <c r="A8" i="6"/>
  <c r="A7" i="6"/>
  <c r="A27" i="6"/>
  <c r="A26" i="6"/>
  <c r="B22" i="6" l="1"/>
  <c r="A1" i="7"/>
  <c r="B1" i="7" s="1"/>
  <c r="C1" i="7" s="1"/>
  <c r="A28" i="6"/>
  <c r="A22" i="6"/>
  <c r="A2" i="7"/>
  <c r="B2" i="7" s="1"/>
  <c r="C2" i="7" s="1"/>
  <c r="A29" i="6"/>
  <c r="D16" i="7"/>
  <c r="C2" i="6"/>
  <c r="C23" i="6" s="1"/>
  <c r="C4" i="6"/>
  <c r="A4" i="7" s="1"/>
  <c r="C5" i="6"/>
  <c r="C26" i="6" s="1"/>
  <c r="C6" i="6"/>
  <c r="C7" i="6"/>
  <c r="C28" i="6" s="1"/>
  <c r="C8" i="6"/>
  <c r="C9" i="6"/>
  <c r="C30" i="6" s="1"/>
  <c r="C10" i="6"/>
  <c r="C31" i="6" s="1"/>
  <c r="C11" i="6"/>
  <c r="C32" i="6" s="1"/>
  <c r="C12" i="6"/>
  <c r="C33" i="6" s="1"/>
  <c r="C13" i="6"/>
  <c r="C14" i="6"/>
  <c r="C35" i="6" s="1"/>
  <c r="C15" i="6"/>
  <c r="C36" i="6" s="1"/>
  <c r="C16" i="6"/>
  <c r="C37" i="6" s="1"/>
  <c r="C17" i="6"/>
  <c r="C38" i="6" s="1"/>
  <c r="C18" i="6"/>
  <c r="C39" i="6" s="1"/>
  <c r="C27" i="6" l="1"/>
  <c r="G4" i="6"/>
  <c r="E1" i="6"/>
  <c r="E3" i="6" s="1"/>
  <c r="G6" i="6"/>
  <c r="C29" i="6"/>
  <c r="G5" i="6"/>
  <c r="C25" i="6"/>
  <c r="G3" i="6"/>
  <c r="C34" i="6"/>
  <c r="F2" i="8"/>
  <c r="E16" i="7"/>
  <c r="C16" i="7" s="1"/>
  <c r="F16" i="7"/>
  <c r="C3" i="6"/>
  <c r="C24" i="6" s="1"/>
  <c r="L2" i="4"/>
  <c r="C13" i="4"/>
  <c r="C19" i="4"/>
  <c r="C12" i="4"/>
  <c r="C5" i="4"/>
  <c r="C14" i="4"/>
  <c r="B7" i="4"/>
  <c r="C3" i="4"/>
  <c r="B8" i="4"/>
  <c r="D3" i="4"/>
  <c r="G16" i="7" l="1"/>
  <c r="H16" i="7"/>
  <c r="C421" i="8"/>
  <c r="C405" i="8"/>
  <c r="C389" i="8"/>
  <c r="C373" i="8"/>
  <c r="C357" i="8"/>
  <c r="C341" i="8"/>
  <c r="C325" i="8"/>
  <c r="C309" i="8"/>
  <c r="C293" i="8"/>
  <c r="C277" i="8"/>
  <c r="C261" i="8"/>
  <c r="C245" i="8"/>
  <c r="C229" i="8"/>
  <c r="C213" i="8"/>
  <c r="C197" i="8"/>
  <c r="C181" i="8"/>
  <c r="C165" i="8"/>
  <c r="C149" i="8"/>
  <c r="C133" i="8"/>
  <c r="C117" i="8"/>
  <c r="C101" i="8"/>
  <c r="C85" i="8"/>
  <c r="C408" i="8"/>
  <c r="C392" i="8"/>
  <c r="C376" i="8"/>
  <c r="C360" i="8"/>
  <c r="C344" i="8"/>
  <c r="C328" i="8"/>
  <c r="C312" i="8"/>
  <c r="C296" i="8"/>
  <c r="C280" i="8"/>
  <c r="C264" i="8"/>
  <c r="C248" i="8"/>
  <c r="C232" i="8"/>
  <c r="C216" i="8"/>
  <c r="C200" i="8"/>
  <c r="C184" i="8"/>
  <c r="C168" i="8"/>
  <c r="C152" i="8"/>
  <c r="C136" i="8"/>
  <c r="C120" i="8"/>
  <c r="C104" i="8"/>
  <c r="C88" i="8"/>
  <c r="C411" i="8"/>
  <c r="C395" i="8"/>
  <c r="C379" i="8"/>
  <c r="C363" i="8"/>
  <c r="C347" i="8"/>
  <c r="C331" i="8"/>
  <c r="C315" i="8"/>
  <c r="C299" i="8"/>
  <c r="C283" i="8"/>
  <c r="C267" i="8"/>
  <c r="C251" i="8"/>
  <c r="C235" i="8"/>
  <c r="C219" i="8"/>
  <c r="C203" i="8"/>
  <c r="C187" i="8"/>
  <c r="C171" i="8"/>
  <c r="C155" i="8"/>
  <c r="C139" i="8"/>
  <c r="C123" i="8"/>
  <c r="C107" i="8"/>
  <c r="C91" i="8"/>
  <c r="C402" i="8"/>
  <c r="C338" i="8"/>
  <c r="C274" i="8"/>
  <c r="C210" i="8"/>
  <c r="C146" i="8"/>
  <c r="C82" i="8"/>
  <c r="C66" i="8"/>
  <c r="C50" i="8"/>
  <c r="C34" i="8"/>
  <c r="C18" i="8"/>
  <c r="C2" i="8"/>
  <c r="C326" i="8"/>
  <c r="C198" i="8"/>
  <c r="C86" i="8"/>
  <c r="C51" i="8"/>
  <c r="C23" i="8"/>
  <c r="C382" i="8"/>
  <c r="C318" i="8"/>
  <c r="C254" i="8"/>
  <c r="C190" i="8"/>
  <c r="C126" i="8"/>
  <c r="C417" i="8"/>
  <c r="C401" i="8"/>
  <c r="C385" i="8"/>
  <c r="C369" i="8"/>
  <c r="C353" i="8"/>
  <c r="C337" i="8"/>
  <c r="C321" i="8"/>
  <c r="C305" i="8"/>
  <c r="C289" i="8"/>
  <c r="C273" i="8"/>
  <c r="C257" i="8"/>
  <c r="C241" i="8"/>
  <c r="C225" i="8"/>
  <c r="C209" i="8"/>
  <c r="C193" i="8"/>
  <c r="C177" i="8"/>
  <c r="C161" i="8"/>
  <c r="C145" i="8"/>
  <c r="C129" i="8"/>
  <c r="C113" i="8"/>
  <c r="C97" i="8"/>
  <c r="C420" i="8"/>
  <c r="C404" i="8"/>
  <c r="C388" i="8"/>
  <c r="C372" i="8"/>
  <c r="C356" i="8"/>
  <c r="C340" i="8"/>
  <c r="C324" i="8"/>
  <c r="C308" i="8"/>
  <c r="C292" i="8"/>
  <c r="C276" i="8"/>
  <c r="C260" i="8"/>
  <c r="C244" i="8"/>
  <c r="C228" i="8"/>
  <c r="C212" i="8"/>
  <c r="C196" i="8"/>
  <c r="C180" i="8"/>
  <c r="C164" i="8"/>
  <c r="C148" i="8"/>
  <c r="C132" i="8"/>
  <c r="C116" i="8"/>
  <c r="C100" i="8"/>
  <c r="C84" i="8"/>
  <c r="C407" i="8"/>
  <c r="C391" i="8"/>
  <c r="C375" i="8"/>
  <c r="C359" i="8"/>
  <c r="C343" i="8"/>
  <c r="C327" i="8"/>
  <c r="C311" i="8"/>
  <c r="C295" i="8"/>
  <c r="C279" i="8"/>
  <c r="C263" i="8"/>
  <c r="C247" i="8"/>
  <c r="C231" i="8"/>
  <c r="C215" i="8"/>
  <c r="C199" i="8"/>
  <c r="C183" i="8"/>
  <c r="C167" i="8"/>
  <c r="C151" i="8"/>
  <c r="C135" i="8"/>
  <c r="C119" i="8"/>
  <c r="C103" i="8"/>
  <c r="C87" i="8"/>
  <c r="C386" i="8"/>
  <c r="C322" i="8"/>
  <c r="C258" i="8"/>
  <c r="C194" i="8"/>
  <c r="C130" i="8"/>
  <c r="C78" i="8"/>
  <c r="C62" i="8"/>
  <c r="C46" i="8"/>
  <c r="C30" i="8"/>
  <c r="C14" i="8"/>
  <c r="C12" i="8"/>
  <c r="C294" i="8"/>
  <c r="C166" i="8"/>
  <c r="C75" i="8"/>
  <c r="C47" i="8"/>
  <c r="C11" i="8"/>
  <c r="C413" i="8"/>
  <c r="C397" i="8"/>
  <c r="C381" i="8"/>
  <c r="C365" i="8"/>
  <c r="C349" i="8"/>
  <c r="C333" i="8"/>
  <c r="C317" i="8"/>
  <c r="C301" i="8"/>
  <c r="C285" i="8"/>
  <c r="C269" i="8"/>
  <c r="C253" i="8"/>
  <c r="C237" i="8"/>
  <c r="C221" i="8"/>
  <c r="C205" i="8"/>
  <c r="C189" i="8"/>
  <c r="C173" i="8"/>
  <c r="C157" i="8"/>
  <c r="C141" i="8"/>
  <c r="C125" i="8"/>
  <c r="C109" i="8"/>
  <c r="C93" i="8"/>
  <c r="C416" i="8"/>
  <c r="C400" i="8"/>
  <c r="C384" i="8"/>
  <c r="C368" i="8"/>
  <c r="C352" i="8"/>
  <c r="C336" i="8"/>
  <c r="C320" i="8"/>
  <c r="C304" i="8"/>
  <c r="C288" i="8"/>
  <c r="C272" i="8"/>
  <c r="C256" i="8"/>
  <c r="C240" i="8"/>
  <c r="C224" i="8"/>
  <c r="C208" i="8"/>
  <c r="C192" i="8"/>
  <c r="C176" i="8"/>
  <c r="C160" i="8"/>
  <c r="C144" i="8"/>
  <c r="C128" i="8"/>
  <c r="C112" i="8"/>
  <c r="C96" i="8"/>
  <c r="C419" i="8"/>
  <c r="C403" i="8"/>
  <c r="C387" i="8"/>
  <c r="C371" i="8"/>
  <c r="C355" i="8"/>
  <c r="C339" i="8"/>
  <c r="C323" i="8"/>
  <c r="C307" i="8"/>
  <c r="C291" i="8"/>
  <c r="C275" i="8"/>
  <c r="C259" i="8"/>
  <c r="C243" i="8"/>
  <c r="C227" i="8"/>
  <c r="C211" i="8"/>
  <c r="C195" i="8"/>
  <c r="C179" i="8"/>
  <c r="C163" i="8"/>
  <c r="C147" i="8"/>
  <c r="C131" i="8"/>
  <c r="C115" i="8"/>
  <c r="C99" i="8"/>
  <c r="C83" i="8"/>
  <c r="C370" i="8"/>
  <c r="C306" i="8"/>
  <c r="C242" i="8"/>
  <c r="C178" i="8"/>
  <c r="C114" i="8"/>
  <c r="C74" i="8"/>
  <c r="C58" i="8"/>
  <c r="C42" i="8"/>
  <c r="C26" i="8"/>
  <c r="C10" i="8"/>
  <c r="C4" i="8"/>
  <c r="C262" i="8"/>
  <c r="C150" i="8"/>
  <c r="C67" i="8"/>
  <c r="C39" i="8"/>
  <c r="C414" i="8"/>
  <c r="C350" i="8"/>
  <c r="C286" i="8"/>
  <c r="C222" i="8"/>
  <c r="C158" i="8"/>
  <c r="C94" i="8"/>
  <c r="C409" i="8"/>
  <c r="C345" i="8"/>
  <c r="C281" i="8"/>
  <c r="C217" i="8"/>
  <c r="C153" i="8"/>
  <c r="C89" i="8"/>
  <c r="C364" i="8"/>
  <c r="C300" i="8"/>
  <c r="C236" i="8"/>
  <c r="C172" i="8"/>
  <c r="C108" i="8"/>
  <c r="C383" i="8"/>
  <c r="C319" i="8"/>
  <c r="C255" i="8"/>
  <c r="C191" i="8"/>
  <c r="C127" i="8"/>
  <c r="C354" i="8"/>
  <c r="C98" i="8"/>
  <c r="C22" i="8"/>
  <c r="C118" i="8"/>
  <c r="C366" i="8"/>
  <c r="C238" i="8"/>
  <c r="C110" i="8"/>
  <c r="C69" i="8"/>
  <c r="C53" i="8"/>
  <c r="C37" i="8"/>
  <c r="C21" i="8"/>
  <c r="C5" i="8"/>
  <c r="C394" i="8"/>
  <c r="C330" i="8"/>
  <c r="C266" i="8"/>
  <c r="C202" i="8"/>
  <c r="C138" i="8"/>
  <c r="C80" i="8"/>
  <c r="C64" i="8"/>
  <c r="C48" i="8"/>
  <c r="C32" i="8"/>
  <c r="C16" i="8"/>
  <c r="C358" i="8"/>
  <c r="C246" i="8"/>
  <c r="C102" i="8"/>
  <c r="C55" i="8"/>
  <c r="C19" i="8"/>
  <c r="C393" i="8"/>
  <c r="C329" i="8"/>
  <c r="C265" i="8"/>
  <c r="C201" i="8"/>
  <c r="C137" i="8"/>
  <c r="C412" i="8"/>
  <c r="C348" i="8"/>
  <c r="C284" i="8"/>
  <c r="C220" i="8"/>
  <c r="C156" i="8"/>
  <c r="C92" i="8"/>
  <c r="C367" i="8"/>
  <c r="C303" i="8"/>
  <c r="C239" i="8"/>
  <c r="C175" i="8"/>
  <c r="C111" i="8"/>
  <c r="C290" i="8"/>
  <c r="C70" i="8"/>
  <c r="C6" i="8"/>
  <c r="C59" i="8"/>
  <c r="C334" i="8"/>
  <c r="C206" i="8"/>
  <c r="C81" i="8"/>
  <c r="C65" i="8"/>
  <c r="C49" i="8"/>
  <c r="C33" i="8"/>
  <c r="C17" i="8"/>
  <c r="C15" i="8"/>
  <c r="C378" i="8"/>
  <c r="C314" i="8"/>
  <c r="C250" i="8"/>
  <c r="C186" i="8"/>
  <c r="C122" i="8"/>
  <c r="C76" i="8"/>
  <c r="C60" i="8"/>
  <c r="C44" i="8"/>
  <c r="C28" i="8"/>
  <c r="C8" i="8"/>
  <c r="C342" i="8"/>
  <c r="C214" i="8"/>
  <c r="C79" i="8"/>
  <c r="C43" i="8"/>
  <c r="C7" i="8"/>
  <c r="C377" i="8"/>
  <c r="C313" i="8"/>
  <c r="C249" i="8"/>
  <c r="C185" i="8"/>
  <c r="C121" i="8"/>
  <c r="C396" i="8"/>
  <c r="C332" i="8"/>
  <c r="C268" i="8"/>
  <c r="C204" i="8"/>
  <c r="C140" i="8"/>
  <c r="C415" i="8"/>
  <c r="C351" i="8"/>
  <c r="C287" i="8"/>
  <c r="C223" i="8"/>
  <c r="C159" i="8"/>
  <c r="C95" i="8"/>
  <c r="C226" i="8"/>
  <c r="C54" i="8"/>
  <c r="C390" i="8"/>
  <c r="C31" i="8"/>
  <c r="C302" i="8"/>
  <c r="C174" i="8"/>
  <c r="C77" i="8"/>
  <c r="C61" i="8"/>
  <c r="C45" i="8"/>
  <c r="C29" i="8"/>
  <c r="C13" i="8"/>
  <c r="C3" i="8"/>
  <c r="C362" i="8"/>
  <c r="C298" i="8"/>
  <c r="C234" i="8"/>
  <c r="C170" i="8"/>
  <c r="C106" i="8"/>
  <c r="C72" i="8"/>
  <c r="C56" i="8"/>
  <c r="C40" i="8"/>
  <c r="C24" i="8"/>
  <c r="C406" i="8"/>
  <c r="C310" i="8"/>
  <c r="C182" i="8"/>
  <c r="C71" i="8"/>
  <c r="C35" i="8"/>
  <c r="C361" i="8"/>
  <c r="C297" i="8"/>
  <c r="C233" i="8"/>
  <c r="C169" i="8"/>
  <c r="C105" i="8"/>
  <c r="C380" i="8"/>
  <c r="C316" i="8"/>
  <c r="C252" i="8"/>
  <c r="C188" i="8"/>
  <c r="C124" i="8"/>
  <c r="C399" i="8"/>
  <c r="C335" i="8"/>
  <c r="C271" i="8"/>
  <c r="C207" i="8"/>
  <c r="C143" i="8"/>
  <c r="C418" i="8"/>
  <c r="C162" i="8"/>
  <c r="C38" i="8"/>
  <c r="C230" i="8"/>
  <c r="C398" i="8"/>
  <c r="C270" i="8"/>
  <c r="C142" i="8"/>
  <c r="C73" i="8"/>
  <c r="C57" i="8"/>
  <c r="C41" i="8"/>
  <c r="C25" i="8"/>
  <c r="C9" i="8"/>
  <c r="C410" i="8"/>
  <c r="C346" i="8"/>
  <c r="C282" i="8"/>
  <c r="C218" i="8"/>
  <c r="C154" i="8"/>
  <c r="C90" i="8"/>
  <c r="C68" i="8"/>
  <c r="C52" i="8"/>
  <c r="C36" i="8"/>
  <c r="C20" i="8"/>
  <c r="C374" i="8"/>
  <c r="C278" i="8"/>
  <c r="C134" i="8"/>
  <c r="C63" i="8"/>
  <c r="C27" i="8"/>
  <c r="N1" i="4"/>
  <c r="N2" i="4"/>
  <c r="N3" i="4"/>
  <c r="N4" i="4"/>
  <c r="N5" i="4"/>
  <c r="N6" i="4"/>
  <c r="N7" i="4"/>
  <c r="N8" i="4"/>
  <c r="N9" i="4"/>
  <c r="N10" i="4"/>
  <c r="N11" i="4"/>
  <c r="N12" i="4"/>
  <c r="N13" i="4"/>
  <c r="N14" i="4"/>
  <c r="N15" i="4"/>
  <c r="N16" i="4"/>
  <c r="N17" i="4"/>
  <c r="N18" i="4"/>
  <c r="N19" i="4"/>
  <c r="N20" i="4"/>
  <c r="N21" i="4"/>
  <c r="N22" i="4"/>
  <c r="N23" i="4"/>
  <c r="N24" i="4"/>
  <c r="N25" i="4"/>
  <c r="N26" i="4"/>
  <c r="N27" i="4"/>
  <c r="N28" i="4"/>
  <c r="N29" i="4"/>
  <c r="N30" i="4"/>
  <c r="N31" i="4"/>
  <c r="N33" i="4"/>
  <c r="N34" i="4"/>
  <c r="N35" i="4"/>
  <c r="N36" i="4"/>
  <c r="N37" i="4"/>
  <c r="N38" i="4"/>
  <c r="N39" i="4"/>
  <c r="N40" i="4"/>
  <c r="N41" i="4"/>
  <c r="N42" i="4"/>
  <c r="N43" i="4"/>
  <c r="N44" i="4"/>
  <c r="N45" i="4"/>
  <c r="N46" i="4"/>
  <c r="N47" i="4"/>
  <c r="N48" i="4"/>
  <c r="N49" i="4"/>
  <c r="N50" i="4"/>
  <c r="D15" i="7"/>
  <c r="C17" i="4"/>
  <c r="D7" i="4"/>
  <c r="C8" i="4"/>
  <c r="D8" i="4"/>
  <c r="C7" i="4"/>
  <c r="H5" i="8" l="1"/>
  <c r="E15" i="7"/>
  <c r="C15" i="7" s="1"/>
  <c r="F15" i="7"/>
  <c r="N32" i="4"/>
  <c r="L1" i="4" s="1"/>
  <c r="L3" i="4" s="1"/>
  <c r="B19" i="6" s="1"/>
  <c r="D17" i="4"/>
  <c r="C21" i="4"/>
  <c r="B17" i="4"/>
  <c r="D21" i="4"/>
  <c r="B21" i="4"/>
  <c r="C22" i="4"/>
  <c r="D22" i="4"/>
  <c r="B22" i="4"/>
  <c r="G15" i="7" l="1"/>
  <c r="H15" i="7"/>
  <c r="H6" i="7"/>
  <c r="B40" i="6"/>
  <c r="A10" i="6"/>
  <c r="A31" i="6" s="1"/>
  <c r="G12" i="8" l="1"/>
  <c r="H4" i="10"/>
  <c r="G13" i="8"/>
  <c r="H7" i="10"/>
  <c r="H5" i="10"/>
  <c r="G11" i="8"/>
  <c r="H6" i="10"/>
  <c r="H4" i="8" l="1"/>
  <c r="H2" i="10"/>
  <c r="O13" i="10"/>
  <c r="A11" i="6" s="1"/>
  <c r="A32" i="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Shlomi</author>
  </authors>
  <commentList>
    <comment ref="L1" authorId="0" shapeId="0" xr:uid="{00000000-0006-0000-0000-000001000000}">
      <text>
        <r>
          <rPr>
            <sz val="9"/>
            <color indexed="81"/>
            <rFont val="Tahoma"/>
            <family val="2"/>
          </rPr>
          <t>=DateToHeb(D3)</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חיבור3" type="4" refreshedVersion="6" background="1" refreshOnLoad="1" saveData="1">
    <webPr sourceData="1" parsePre="1" consecutive="1" xl2000="1" url="http://calendar.2net.co.il/todaytimes.aspx"/>
  </connection>
</connections>
</file>

<file path=xl/sharedStrings.xml><?xml version="1.0" encoding="utf-8"?>
<sst xmlns="http://schemas.openxmlformats.org/spreadsheetml/2006/main" count="2738" uniqueCount="1143">
  <si>
    <t>המרה מתאריך לועזי לתאריך עברי</t>
  </si>
  <si>
    <t>תאריך לועזי</t>
  </si>
  <si>
    <t>תאריך עברי</t>
  </si>
  <si>
    <t>יום בשבוע</t>
  </si>
  <si>
    <t>תאריך מקורי</t>
  </si>
  <si>
    <t>ימי הולדת בשנת</t>
  </si>
  <si>
    <t>תשסה</t>
  </si>
  <si>
    <t>יום הולדת עברי</t>
  </si>
  <si>
    <t>יום הולדת לועזי</t>
  </si>
  <si>
    <t>המרה מתאריך עברי לתאריך לועזי</t>
  </si>
  <si>
    <t>יום</t>
  </si>
  <si>
    <t>ו</t>
  </si>
  <si>
    <t>חודש</t>
  </si>
  <si>
    <t>אדר</t>
  </si>
  <si>
    <t>שנה</t>
  </si>
  <si>
    <t>תשסח</t>
  </si>
  <si>
    <t>חודשים עבריים</t>
  </si>
  <si>
    <t>מספר</t>
  </si>
  <si>
    <t>תשרי</t>
  </si>
  <si>
    <t>חשון</t>
  </si>
  <si>
    <t>כסלו</t>
  </si>
  <si>
    <t>טבת</t>
  </si>
  <si>
    <t>שבט</t>
  </si>
  <si>
    <t>אדר א</t>
  </si>
  <si>
    <t>אדר ב</t>
  </si>
  <si>
    <t>ניסן</t>
  </si>
  <si>
    <t>אייר</t>
  </si>
  <si>
    <t>סיון</t>
  </si>
  <si>
    <t>תמוז</t>
  </si>
  <si>
    <t>אב</t>
  </si>
  <si>
    <t>אלול</t>
  </si>
  <si>
    <t>מצב לועזי</t>
  </si>
  <si>
    <t>מצב עברי</t>
  </si>
  <si>
    <t>שיטת הזמנים:</t>
  </si>
  <si>
    <t>הזמנים עבור:</t>
  </si>
  <si>
    <t>הגדרות</t>
  </si>
  <si>
    <t>© כל הזכויות שמורות לטו נט ישראל</t>
  </si>
  <si>
    <t>יצירת קשר</t>
  </si>
  <si>
    <t>|</t>
  </si>
  <si>
    <t>אודות</t>
  </si>
  <si>
    <t>תאריך עברי ולועזי היום:</t>
  </si>
  <si>
    <t>עבור לתאריך</t>
  </si>
  <si>
    <t>בחירת יום</t>
  </si>
  <si>
    <t>דף זה מציג את זמני היום הנוכחי ואת זמני השבת העתידית כולל כניסת שבת וצאת שבת. המידע היומי כולל זמני זריחה, זמני שקיעה, זמן טלית ותפילין, סוף זמן קריאת שמע, סוף זמן תפילה, חצות היום, זמני מנחה גדולה וקטנה, פלג המנחה, צאת הכוכבים וצאת הכוכבים רבינו תם וכן את שם הדף היומי הבבלי והירושלמי. בימי שישי מופיע בנוסף זמן כניסת שבת ובלשונית זמני השבת מוצגים זמני כניסת שבת ויציאת שבת.</t>
  </si>
  <si>
    <t>אודות כניסת שבת וזמני היום</t>
  </si>
  <si>
    <t>רמבם יומי</t>
  </si>
  <si>
    <t>דף יומי ירושלמי</t>
  </si>
  <si>
    <t>דף יומי בבלי</t>
  </si>
  <si>
    <t>צאת הכוכבים לרבנו תם</t>
  </si>
  <si>
    <t>nightצאת הכוכבים</t>
  </si>
  <si>
    <t>fog-sunשקיעה הנראית</t>
  </si>
  <si>
    <t>fog-sunשקיעה מישורית</t>
  </si>
  <si>
    <t>פלג המנחה</t>
  </si>
  <si>
    <t>מנחה קטנה</t>
  </si>
  <si>
    <t>תחילת זמן מנחה גדולה</t>
  </si>
  <si>
    <t>חצות היום והלילה</t>
  </si>
  <si>
    <t>סוף זמן תפילה גרא</t>
  </si>
  <si>
    <t>סוף זמן תפילה מג"א</t>
  </si>
  <si>
    <t>סוף זמן קריאת שמע גרא</t>
  </si>
  <si>
    <t>סוף זמן קריאת שמע מג"א</t>
  </si>
  <si>
    <t>sunrise1זריחה הנראית</t>
  </si>
  <si>
    <t>sunrise1זריחה מישורית</t>
  </si>
  <si>
    <t>עלות השחר</t>
  </si>
  <si>
    <t>זמני היום בהלכה</t>
  </si>
  <si>
    <t>הנוכחי</t>
  </si>
  <si>
    <t>היום</t>
  </si>
  <si>
    <t>תל אביב</t>
  </si>
  <si>
    <t>זמני היום | זמני כניסת שבת</t>
  </si>
  <si>
    <t>זמני היום והשבת</t>
  </si>
  <si>
    <t>תפריט</t>
  </si>
  <si>
    <t>צאת הכוכבים</t>
  </si>
  <si>
    <t>שקיעה</t>
  </si>
  <si>
    <t>זריחה</t>
  </si>
  <si>
    <t>טז ניסן</t>
  </si>
  <si>
    <t>יום אחד</t>
  </si>
  <si>
    <t>יז ניסן</t>
  </si>
  <si>
    <t>שני ימים</t>
  </si>
  <si>
    <t>יח ניסן</t>
  </si>
  <si>
    <t>שלושה ימים</t>
  </si>
  <si>
    <t>יט ניסן</t>
  </si>
  <si>
    <t>ארבעה ימים</t>
  </si>
  <si>
    <t>כ ניסן</t>
  </si>
  <si>
    <t>חמישה ימים</t>
  </si>
  <si>
    <t>כא ניסן</t>
  </si>
  <si>
    <t>שישה ימים</t>
  </si>
  <si>
    <t>כב ניסן</t>
  </si>
  <si>
    <t>שבעה ימים שהם שבוע אחד</t>
  </si>
  <si>
    <t>כג ניסן</t>
  </si>
  <si>
    <t>שמונה ימים שהם שבוע אחד ויום אחד</t>
  </si>
  <si>
    <t>כד ניסן</t>
  </si>
  <si>
    <t>תשעה ימים שהם שבוע אחד ושני ימים</t>
  </si>
  <si>
    <t>כה ניסן</t>
  </si>
  <si>
    <t>עשרה ימים שהם שבוע אחד ושלושה ימים</t>
  </si>
  <si>
    <t>כו ניסן</t>
  </si>
  <si>
    <t>אחד עשר יום שהם שבוע אחד וארבעה ימים</t>
  </si>
  <si>
    <t>כז ניסן</t>
  </si>
  <si>
    <t>שניים עשר יום שהם שבוע אחד וחמישה ימים</t>
  </si>
  <si>
    <t>כח ניסן</t>
  </si>
  <si>
    <t>שלושה עשר יום שהם שבוע אחד ושישה ימים</t>
  </si>
  <si>
    <t>כט ניסן</t>
  </si>
  <si>
    <t>ארבעה עשר יום שהם שני שבועות</t>
  </si>
  <si>
    <t>ל ניסן</t>
  </si>
  <si>
    <t>חמישה עשר יום שהם שני שבועות ויום אחד</t>
  </si>
  <si>
    <t>א אייר</t>
  </si>
  <si>
    <t>שישה עשר יום שהם שני שבועות ושני ימים</t>
  </si>
  <si>
    <t>ב אייר</t>
  </si>
  <si>
    <t>שבעה עשר יום שהם שני שבועות ושלושה ימים</t>
  </si>
  <si>
    <t>ג אייר</t>
  </si>
  <si>
    <t>שמונה עשר יום שהם שני שבועות וארבעה ימים</t>
  </si>
  <si>
    <t>ד אייר</t>
  </si>
  <si>
    <t>תשעה עשר יום שהם שני שבועות וחמישה ימים</t>
  </si>
  <si>
    <t>ה אייר</t>
  </si>
  <si>
    <t>עשרים יום שהם שני שבועות ושישה ימים</t>
  </si>
  <si>
    <t>ו אייר</t>
  </si>
  <si>
    <t>אחד ועשרים יום שהם שלושה שבועות</t>
  </si>
  <si>
    <t>ז אייר</t>
  </si>
  <si>
    <t>שניים ועשרים יום שהם שלושה שבועות ויום אחד</t>
  </si>
  <si>
    <t>ח אייר</t>
  </si>
  <si>
    <t>שלושה ועשרים יום שהם שלושה שבועות ושני ימים</t>
  </si>
  <si>
    <t>ט אייר</t>
  </si>
  <si>
    <t>ארבעה ועשרים יום שהם שלושה שבועות ושלושה ימים</t>
  </si>
  <si>
    <t>י אייר</t>
  </si>
  <si>
    <t>חמישה ועשרים יום שהם שלושה שבועות וארבעה ימים</t>
  </si>
  <si>
    <t>יא אייר</t>
  </si>
  <si>
    <t>שישה ועשרים יום שהם שלושה שבועות וחמישה ימים</t>
  </si>
  <si>
    <t>יב אייר</t>
  </si>
  <si>
    <t xml:space="preserve">שבעה ועשרים יום שהם שלושה שבועות ושישה ימים </t>
  </si>
  <si>
    <t>יג אייר</t>
  </si>
  <si>
    <t>שמונה ועשרים יום שהם ארבעה שבועות</t>
  </si>
  <si>
    <t>יד אייר</t>
  </si>
  <si>
    <t>תשעה ועשרים יום שהם ארבעה שבועות ויום אחד</t>
  </si>
  <si>
    <t>טו אייר</t>
  </si>
  <si>
    <t>שלושים יום שהם ארבעה שבועות ושני ימים</t>
  </si>
  <si>
    <t>טז אייר</t>
  </si>
  <si>
    <t>אחד ושלושים יום שהם ארבעה שבועות ושלושה ימים</t>
  </si>
  <si>
    <t>יז אייר</t>
  </si>
  <si>
    <t>שניים ושלושים יום שהם ארבעה שבועות וארבעה ימים</t>
  </si>
  <si>
    <t>יח אייר</t>
  </si>
  <si>
    <t>שלושה ושלושים יום שהם ארבעה שבועות וחמישה ימים</t>
  </si>
  <si>
    <t>יט אייר</t>
  </si>
  <si>
    <t>ארבעה ושלושים יום שהם ארבעה שבועות ושישה ימים</t>
  </si>
  <si>
    <t>כ אייר</t>
  </si>
  <si>
    <t>חמישה ושלושים יום שהם חמישה שבועות</t>
  </si>
  <si>
    <t>כא אייר</t>
  </si>
  <si>
    <t>שישה ושלושים יום שהם חמישה שבועות ויום אחד</t>
  </si>
  <si>
    <t>כב אייר</t>
  </si>
  <si>
    <t>שבעה ושלושים יום שהם חמישה שבועות ושני ימים</t>
  </si>
  <si>
    <t>כג אייר</t>
  </si>
  <si>
    <t>שמונה ושלושים יום שהם חמישה שבועות ושלושה ימים</t>
  </si>
  <si>
    <t>כד אייר</t>
  </si>
  <si>
    <t>תשעה ושלושים יום שהם חמישה שבועות וארבעה ימים</t>
  </si>
  <si>
    <t>כה אייר</t>
  </si>
  <si>
    <t>ארבעים יום שהם חמישה שבועות וחמישה ימים</t>
  </si>
  <si>
    <t>כו אייר</t>
  </si>
  <si>
    <t>אחד וארבעים יום שהם חמישה שבועות ושישה ימים</t>
  </si>
  <si>
    <t>כז אייר</t>
  </si>
  <si>
    <t>שניים וארבעים יום שהם שישה שבועות</t>
  </si>
  <si>
    <t>כח אייר</t>
  </si>
  <si>
    <t>שלושה וארבעים יום שהם שישה שבועות ויום אחד</t>
  </si>
  <si>
    <t>כט אייר</t>
  </si>
  <si>
    <t>ארבעה וארבעים יום שהם שישה שבועות ושני ימים</t>
  </si>
  <si>
    <t>א סיון</t>
  </si>
  <si>
    <t>חמישה וארבעים יום שהם שישה שבועות ושלושה ימים</t>
  </si>
  <si>
    <t>ב סיון</t>
  </si>
  <si>
    <t>שישה וארבעים יום שהם שישה שבועות וארבעה ימים</t>
  </si>
  <si>
    <t>ג סיון</t>
  </si>
  <si>
    <t>שבעה וארבעים יום שהם שישה שבועות וחמישה ימים</t>
  </si>
  <si>
    <t>ד סיון</t>
  </si>
  <si>
    <t>שמונה וארבעים יום שהם שישה שבועות ושישה ימים</t>
  </si>
  <si>
    <t>ה סיון</t>
  </si>
  <si>
    <t>תשעה וארבעים יום שהם שבעה שבועות</t>
  </si>
  <si>
    <t>ו סיון</t>
  </si>
  <si>
    <t>חג שמח</t>
  </si>
  <si>
    <t>פרשת השבוע:</t>
  </si>
  <si>
    <t>ציצית ותפילין</t>
  </si>
  <si>
    <t>טו ניסן</t>
  </si>
  <si>
    <t>הערה:הקוד משווה את M לC3 ובודק האם J1 גדול או קטן מK1</t>
  </si>
  <si>
    <t>חשון 21</t>
  </si>
  <si>
    <t>חשון 01</t>
  </si>
  <si>
    <t>חשון 02</t>
  </si>
  <si>
    <t>חשון 03</t>
  </si>
  <si>
    <t>חשון 04</t>
  </si>
  <si>
    <t>חשון 05</t>
  </si>
  <si>
    <t>חשון 06</t>
  </si>
  <si>
    <t>חשון 07</t>
  </si>
  <si>
    <t>חשון 08</t>
  </si>
  <si>
    <t>חשון 09</t>
  </si>
  <si>
    <t>חשון 10</t>
  </si>
  <si>
    <t>חשון 11</t>
  </si>
  <si>
    <t>חשון 12</t>
  </si>
  <si>
    <t>חשון 13</t>
  </si>
  <si>
    <t>חשון 14</t>
  </si>
  <si>
    <t>חשון 15</t>
  </si>
  <si>
    <t>חשון 16</t>
  </si>
  <si>
    <t>חשון 17</t>
  </si>
  <si>
    <t>חשון 18</t>
  </si>
  <si>
    <t>חשון 19</t>
  </si>
  <si>
    <t>חשון 20</t>
  </si>
  <si>
    <t>חשון 22</t>
  </si>
  <si>
    <t>חשון 23</t>
  </si>
  <si>
    <t>חשון 24</t>
  </si>
  <si>
    <t>חשון 25</t>
  </si>
  <si>
    <t>חשון 26</t>
  </si>
  <si>
    <t>חשון 27</t>
  </si>
  <si>
    <t>חשון 28</t>
  </si>
  <si>
    <t>חשון 29</t>
  </si>
  <si>
    <t>חשון 30</t>
  </si>
  <si>
    <t>כסלו 01</t>
  </si>
  <si>
    <t>כסלו 02</t>
  </si>
  <si>
    <t>כסלו 03</t>
  </si>
  <si>
    <t>כסלו 04</t>
  </si>
  <si>
    <t>כסלו 05</t>
  </si>
  <si>
    <t>כסלו 06</t>
  </si>
  <si>
    <t>כסלו 07</t>
  </si>
  <si>
    <t>כסלו 08</t>
  </si>
  <si>
    <t>כסלו 09</t>
  </si>
  <si>
    <t>כסלו 10</t>
  </si>
  <si>
    <t>כסלו 11</t>
  </si>
  <si>
    <t>כסלו 12</t>
  </si>
  <si>
    <t>כסלו 13</t>
  </si>
  <si>
    <t>כסלו 14</t>
  </si>
  <si>
    <t>כסלו 15</t>
  </si>
  <si>
    <t>כסלו 16</t>
  </si>
  <si>
    <t>כסלו 17</t>
  </si>
  <si>
    <t>כסלו 18</t>
  </si>
  <si>
    <t>כסלו 19</t>
  </si>
  <si>
    <t>כסלו 20</t>
  </si>
  <si>
    <t>כסלו 21</t>
  </si>
  <si>
    <t>כסלו 22</t>
  </si>
  <si>
    <t>כסלו 23</t>
  </si>
  <si>
    <t>כסלו 24</t>
  </si>
  <si>
    <t>כסלו 25</t>
  </si>
  <si>
    <t>כסלו 26</t>
  </si>
  <si>
    <t>כסלו 27</t>
  </si>
  <si>
    <t>כסלו 28</t>
  </si>
  <si>
    <t>כסלו 29</t>
  </si>
  <si>
    <t>כסלו 30</t>
  </si>
  <si>
    <t>טבת 01</t>
  </si>
  <si>
    <t>טבת 02</t>
  </si>
  <si>
    <t>טבת 03</t>
  </si>
  <si>
    <t>טבת 04</t>
  </si>
  <si>
    <t>טבת 05</t>
  </si>
  <si>
    <t>טבת 06</t>
  </si>
  <si>
    <t>טבת 07</t>
  </si>
  <si>
    <t>טבת 08</t>
  </si>
  <si>
    <t>טבת 09</t>
  </si>
  <si>
    <t>טבת 10</t>
  </si>
  <si>
    <t>טבת 11</t>
  </si>
  <si>
    <t>טבת 12</t>
  </si>
  <si>
    <t>טבת 13</t>
  </si>
  <si>
    <t>טבת 14</t>
  </si>
  <si>
    <t>טבת 15</t>
  </si>
  <si>
    <t>טבת 16</t>
  </si>
  <si>
    <t>טבת 17</t>
  </si>
  <si>
    <t>טבת 18</t>
  </si>
  <si>
    <t>טבת 19</t>
  </si>
  <si>
    <t>טבת 20</t>
  </si>
  <si>
    <t>טבת 21</t>
  </si>
  <si>
    <t>טבת 22</t>
  </si>
  <si>
    <t>טבת 23</t>
  </si>
  <si>
    <t>טבת 24</t>
  </si>
  <si>
    <t>טבת 25</t>
  </si>
  <si>
    <t>טבת 26</t>
  </si>
  <si>
    <t>טבת 27</t>
  </si>
  <si>
    <t>טבת 28</t>
  </si>
  <si>
    <t>טבת 29</t>
  </si>
  <si>
    <t>טבת 30</t>
  </si>
  <si>
    <t>שבט 01</t>
  </si>
  <si>
    <t>שבט 02</t>
  </si>
  <si>
    <t>שבט 03</t>
  </si>
  <si>
    <t>שבט 04</t>
  </si>
  <si>
    <t>שבט 05</t>
  </si>
  <si>
    <t>שבט 06</t>
  </si>
  <si>
    <t>שבט 07</t>
  </si>
  <si>
    <t>שבט 08</t>
  </si>
  <si>
    <t>שבט 09</t>
  </si>
  <si>
    <t>שבט 10</t>
  </si>
  <si>
    <t>שבט 11</t>
  </si>
  <si>
    <t>שבט 12</t>
  </si>
  <si>
    <t>שבט 13</t>
  </si>
  <si>
    <t>שבט 14</t>
  </si>
  <si>
    <t>שבט 15</t>
  </si>
  <si>
    <t>שבט 16</t>
  </si>
  <si>
    <t>שבט 17</t>
  </si>
  <si>
    <t>שבט 18</t>
  </si>
  <si>
    <t>שבט 19</t>
  </si>
  <si>
    <t>שבט 20</t>
  </si>
  <si>
    <t>שבט 21</t>
  </si>
  <si>
    <t>שבט 22</t>
  </si>
  <si>
    <t>שבט 23</t>
  </si>
  <si>
    <t>שבט 24</t>
  </si>
  <si>
    <t>שבט 25</t>
  </si>
  <si>
    <t>שבט 26</t>
  </si>
  <si>
    <t>שבט 27</t>
  </si>
  <si>
    <t>שבט 28</t>
  </si>
  <si>
    <t>שבט 29</t>
  </si>
  <si>
    <t>שבט 30</t>
  </si>
  <si>
    <t>תשרי 01</t>
  </si>
  <si>
    <t>תשרי 02</t>
  </si>
  <si>
    <t>תשרי 03</t>
  </si>
  <si>
    <t>תשרי 04</t>
  </si>
  <si>
    <t>תשרי 05</t>
  </si>
  <si>
    <t>תשרי 06</t>
  </si>
  <si>
    <t>תשרי 07</t>
  </si>
  <si>
    <t>תשרי 08</t>
  </si>
  <si>
    <t>תשרי 09</t>
  </si>
  <si>
    <t>תשרי 10</t>
  </si>
  <si>
    <t>תשרי 11</t>
  </si>
  <si>
    <t>תשרי 12</t>
  </si>
  <si>
    <t>תשרי 13</t>
  </si>
  <si>
    <t>תשרי 14</t>
  </si>
  <si>
    <t>תשרי 15</t>
  </si>
  <si>
    <t>תשרי 16</t>
  </si>
  <si>
    <t>תשרי 17</t>
  </si>
  <si>
    <t>תשרי 18</t>
  </si>
  <si>
    <t>תשרי 19</t>
  </si>
  <si>
    <t>תשרי 20</t>
  </si>
  <si>
    <t>תשרי 21</t>
  </si>
  <si>
    <t>תשרי 22</t>
  </si>
  <si>
    <t>תשרי 23</t>
  </si>
  <si>
    <t>תשרי 24</t>
  </si>
  <si>
    <t>תשרי 25</t>
  </si>
  <si>
    <t>תשרי 26</t>
  </si>
  <si>
    <t>תשרי 27</t>
  </si>
  <si>
    <t>תשרי 28</t>
  </si>
  <si>
    <t>תשרי 29</t>
  </si>
  <si>
    <t>תשרי 30</t>
  </si>
  <si>
    <t>אדר 01</t>
  </si>
  <si>
    <t>אדר 02</t>
  </si>
  <si>
    <t>אדר 03</t>
  </si>
  <si>
    <t>אדר 04</t>
  </si>
  <si>
    <t>אדר 05</t>
  </si>
  <si>
    <t>אדר 06</t>
  </si>
  <si>
    <t>אדר 07</t>
  </si>
  <si>
    <t>אדר 08</t>
  </si>
  <si>
    <t>אדר 09</t>
  </si>
  <si>
    <t>אדר 10</t>
  </si>
  <si>
    <t>אדר 11</t>
  </si>
  <si>
    <t>אדר 12</t>
  </si>
  <si>
    <t>אדר 13</t>
  </si>
  <si>
    <t>אדר 14</t>
  </si>
  <si>
    <t>אדר 15</t>
  </si>
  <si>
    <t>אדר 16</t>
  </si>
  <si>
    <t>אדר 17</t>
  </si>
  <si>
    <t>אדר 18</t>
  </si>
  <si>
    <t>אדר 19</t>
  </si>
  <si>
    <t>אדר 20</t>
  </si>
  <si>
    <t>אדר 21</t>
  </si>
  <si>
    <t>אדר 22</t>
  </si>
  <si>
    <t>אדר 23</t>
  </si>
  <si>
    <t>אדר 24</t>
  </si>
  <si>
    <t>אדר 25</t>
  </si>
  <si>
    <t>אדר 26</t>
  </si>
  <si>
    <t>אדר 27</t>
  </si>
  <si>
    <t>אדר 28</t>
  </si>
  <si>
    <t>אדר 29</t>
  </si>
  <si>
    <t>אדר 30</t>
  </si>
  <si>
    <t>ניסן 01</t>
  </si>
  <si>
    <t>ניסן 02</t>
  </si>
  <si>
    <t>ניסן 03</t>
  </si>
  <si>
    <t>ניסן 04</t>
  </si>
  <si>
    <t>ניסן 05</t>
  </si>
  <si>
    <t>ניסן 06</t>
  </si>
  <si>
    <t>ניסן 07</t>
  </si>
  <si>
    <t>ניסן 08</t>
  </si>
  <si>
    <t>ניסן 09</t>
  </si>
  <si>
    <t>ניסן 10</t>
  </si>
  <si>
    <t>ניסן 11</t>
  </si>
  <si>
    <t>ניסן 12</t>
  </si>
  <si>
    <t>ניסן 13</t>
  </si>
  <si>
    <t>ניסן 14</t>
  </si>
  <si>
    <t>ניסן 15</t>
  </si>
  <si>
    <t>ניסן 16</t>
  </si>
  <si>
    <t>ניסן 17</t>
  </si>
  <si>
    <t>ניסן 18</t>
  </si>
  <si>
    <t>ניסן 19</t>
  </si>
  <si>
    <t>ניסן 20</t>
  </si>
  <si>
    <t>ניסן 21</t>
  </si>
  <si>
    <t>ניסן 22</t>
  </si>
  <si>
    <t>ניסן 23</t>
  </si>
  <si>
    <t>ניסן 24</t>
  </si>
  <si>
    <t>ניסן 25</t>
  </si>
  <si>
    <t>ניסן 26</t>
  </si>
  <si>
    <t>ניסן 27</t>
  </si>
  <si>
    <t>ניסן 28</t>
  </si>
  <si>
    <t>ניסן 29</t>
  </si>
  <si>
    <t>ניסן 30</t>
  </si>
  <si>
    <t>אייר 01</t>
  </si>
  <si>
    <t>אייר 02</t>
  </si>
  <si>
    <t>אייר 03</t>
  </si>
  <si>
    <t>אייר 04</t>
  </si>
  <si>
    <t>אייר 05</t>
  </si>
  <si>
    <t>אייר 06</t>
  </si>
  <si>
    <t>אייר 07</t>
  </si>
  <si>
    <t>אייר 08</t>
  </si>
  <si>
    <t>אייר 09</t>
  </si>
  <si>
    <t>אייר 10</t>
  </si>
  <si>
    <t>אייר 11</t>
  </si>
  <si>
    <t>אייר 12</t>
  </si>
  <si>
    <t>אייר 13</t>
  </si>
  <si>
    <t>אייר 14</t>
  </si>
  <si>
    <t>אייר 15</t>
  </si>
  <si>
    <t>אייר 16</t>
  </si>
  <si>
    <t>אייר 17</t>
  </si>
  <si>
    <t>אייר 18</t>
  </si>
  <si>
    <t>אייר 19</t>
  </si>
  <si>
    <t>אייר 20</t>
  </si>
  <si>
    <t>אייר 21</t>
  </si>
  <si>
    <t>אייר 22</t>
  </si>
  <si>
    <t>אייר 23</t>
  </si>
  <si>
    <t>אייר 24</t>
  </si>
  <si>
    <t>אייר 25</t>
  </si>
  <si>
    <t>אייר 26</t>
  </si>
  <si>
    <t>אייר 27</t>
  </si>
  <si>
    <t>אייר 28</t>
  </si>
  <si>
    <t>אייר 29</t>
  </si>
  <si>
    <t>אייר 30</t>
  </si>
  <si>
    <t>סיון 01</t>
  </si>
  <si>
    <t>סיון 02</t>
  </si>
  <si>
    <t>סיון 03</t>
  </si>
  <si>
    <t>סיון 04</t>
  </si>
  <si>
    <t>סיון 05</t>
  </si>
  <si>
    <t>סיון 06</t>
  </si>
  <si>
    <t>סיון 07</t>
  </si>
  <si>
    <t>סיון 08</t>
  </si>
  <si>
    <t>סיון 09</t>
  </si>
  <si>
    <t>סיון 10</t>
  </si>
  <si>
    <t>סיון 11</t>
  </si>
  <si>
    <t>סיון 12</t>
  </si>
  <si>
    <t>סיון 13</t>
  </si>
  <si>
    <t>סיון 14</t>
  </si>
  <si>
    <t>סיון 15</t>
  </si>
  <si>
    <t>סיון 16</t>
  </si>
  <si>
    <t>סיון 17</t>
  </si>
  <si>
    <t>סיון 18</t>
  </si>
  <si>
    <t>סיון 19</t>
  </si>
  <si>
    <t>סיון 20</t>
  </si>
  <si>
    <t>סיון 21</t>
  </si>
  <si>
    <t>סיון 22</t>
  </si>
  <si>
    <t>סיון 23</t>
  </si>
  <si>
    <t>סיון 24</t>
  </si>
  <si>
    <t>סיון 25</t>
  </si>
  <si>
    <t>סיון 26</t>
  </si>
  <si>
    <t>סיון 27</t>
  </si>
  <si>
    <t>סיון 28</t>
  </si>
  <si>
    <t>סיון 29</t>
  </si>
  <si>
    <t>סיון 30</t>
  </si>
  <si>
    <t>תמוז 01</t>
  </si>
  <si>
    <t>תמוז 02</t>
  </si>
  <si>
    <t>תמוז 03</t>
  </si>
  <si>
    <t>תמוז 04</t>
  </si>
  <si>
    <t>תמוז 05</t>
  </si>
  <si>
    <t>תמוז 06</t>
  </si>
  <si>
    <t>תמוז 07</t>
  </si>
  <si>
    <t>תמוז 08</t>
  </si>
  <si>
    <t>תמוז 09</t>
  </si>
  <si>
    <t>תמוז 10</t>
  </si>
  <si>
    <t>תמוז 11</t>
  </si>
  <si>
    <t>תמוז 12</t>
  </si>
  <si>
    <t>תמוז 13</t>
  </si>
  <si>
    <t>תמוז 14</t>
  </si>
  <si>
    <t>תמוז 15</t>
  </si>
  <si>
    <t>תמוז 16</t>
  </si>
  <si>
    <t>תמוז 17</t>
  </si>
  <si>
    <t>תמוז 18</t>
  </si>
  <si>
    <t>תמוז 19</t>
  </si>
  <si>
    <t>תמוז 20</t>
  </si>
  <si>
    <t>תמוז 21</t>
  </si>
  <si>
    <t>תמוז 22</t>
  </si>
  <si>
    <t>תמוז 23</t>
  </si>
  <si>
    <t>תמוז 24</t>
  </si>
  <si>
    <t>תמוז 25</t>
  </si>
  <si>
    <t>תמוז 26</t>
  </si>
  <si>
    <t>תמוז 27</t>
  </si>
  <si>
    <t>תמוז 28</t>
  </si>
  <si>
    <t>תמוז 29</t>
  </si>
  <si>
    <t>תמוז 30</t>
  </si>
  <si>
    <t>אב 01</t>
  </si>
  <si>
    <t>אב 02</t>
  </si>
  <si>
    <t>אב 03</t>
  </si>
  <si>
    <t>אב 04</t>
  </si>
  <si>
    <t>אב 05</t>
  </si>
  <si>
    <t>אב 06</t>
  </si>
  <si>
    <t>אב 07</t>
  </si>
  <si>
    <t>אב 08</t>
  </si>
  <si>
    <t>אב 09</t>
  </si>
  <si>
    <t>אב 10</t>
  </si>
  <si>
    <t>אב 11</t>
  </si>
  <si>
    <t>אב 12</t>
  </si>
  <si>
    <t>אב 13</t>
  </si>
  <si>
    <t>אב 14</t>
  </si>
  <si>
    <t>אב 15</t>
  </si>
  <si>
    <t>אב 16</t>
  </si>
  <si>
    <t>אב 17</t>
  </si>
  <si>
    <t>אב 18</t>
  </si>
  <si>
    <t>אב 19</t>
  </si>
  <si>
    <t>אב 20</t>
  </si>
  <si>
    <t>אב 21</t>
  </si>
  <si>
    <t>אב 22</t>
  </si>
  <si>
    <t>אב 23</t>
  </si>
  <si>
    <t>אב 24</t>
  </si>
  <si>
    <t>אב 25</t>
  </si>
  <si>
    <t>אב 26</t>
  </si>
  <si>
    <t>אב 27</t>
  </si>
  <si>
    <t>אב 28</t>
  </si>
  <si>
    <t>אב 29</t>
  </si>
  <si>
    <t>אב 30</t>
  </si>
  <si>
    <t>אלול 01</t>
  </si>
  <si>
    <t>אלול 02</t>
  </si>
  <si>
    <t>אלול 03</t>
  </si>
  <si>
    <t>אלול 04</t>
  </si>
  <si>
    <t>אלול 05</t>
  </si>
  <si>
    <t>אלול 06</t>
  </si>
  <si>
    <t>אלול 07</t>
  </si>
  <si>
    <t>אלול 08</t>
  </si>
  <si>
    <t>אלול 09</t>
  </si>
  <si>
    <t>אלול 10</t>
  </si>
  <si>
    <t>אלול 11</t>
  </si>
  <si>
    <t>אלול 12</t>
  </si>
  <si>
    <t>אלול 13</t>
  </si>
  <si>
    <t>אלול 14</t>
  </si>
  <si>
    <t>אלול 15</t>
  </si>
  <si>
    <t>אלול 16</t>
  </si>
  <si>
    <t>אלול 17</t>
  </si>
  <si>
    <t>אלול 18</t>
  </si>
  <si>
    <t>אלול 19</t>
  </si>
  <si>
    <t>אלול 20</t>
  </si>
  <si>
    <t>אלול 21</t>
  </si>
  <si>
    <t>אלול 22</t>
  </si>
  <si>
    <t>אלול 23</t>
  </si>
  <si>
    <t>אלול 24</t>
  </si>
  <si>
    <t>אלול 25</t>
  </si>
  <si>
    <t>אלול 26</t>
  </si>
  <si>
    <t>אלול 27</t>
  </si>
  <si>
    <t>אלול 28</t>
  </si>
  <si>
    <t>אלול 29</t>
  </si>
  <si>
    <t>אלול 30</t>
  </si>
  <si>
    <t>א' תשרי</t>
  </si>
  <si>
    <t>א' חשון</t>
  </si>
  <si>
    <t>ב' תשרי</t>
  </si>
  <si>
    <t>ג' תשרי</t>
  </si>
  <si>
    <t>ד' תשרי</t>
  </si>
  <si>
    <t>ה' תשרי</t>
  </si>
  <si>
    <t>ו' תשרי</t>
  </si>
  <si>
    <t>ז' תשרי</t>
  </si>
  <si>
    <t>ח' תשרי</t>
  </si>
  <si>
    <t>ט' תשרי</t>
  </si>
  <si>
    <t>י' תשרי</t>
  </si>
  <si>
    <t>יא תשרי</t>
  </si>
  <si>
    <t>יב תשרי</t>
  </si>
  <si>
    <t>יג תשרי</t>
  </si>
  <si>
    <t>יד תשרי</t>
  </si>
  <si>
    <t>ט"ו תשרי</t>
  </si>
  <si>
    <t>ט"ז תשרי</t>
  </si>
  <si>
    <t>י"ז תשרי</t>
  </si>
  <si>
    <t>י"ח תשרי</t>
  </si>
  <si>
    <t>י"ט תשרי</t>
  </si>
  <si>
    <t>כ' תשרי</t>
  </si>
  <si>
    <t>כ"א תשרי</t>
  </si>
  <si>
    <t>כ"ב תשרי</t>
  </si>
  <si>
    <t>כ"ג תשרי</t>
  </si>
  <si>
    <t>כ"ד תשרי</t>
  </si>
  <si>
    <t>כ"ה תשרי</t>
  </si>
  <si>
    <t>כ"ו תשרי</t>
  </si>
  <si>
    <t>כ"ז תשרי</t>
  </si>
  <si>
    <t>כ"ח תשרי</t>
  </si>
  <si>
    <t>כ"ט תשרי</t>
  </si>
  <si>
    <t>ל' תשרי</t>
  </si>
  <si>
    <t>ב' חשון</t>
  </si>
  <si>
    <t>ג' חשון</t>
  </si>
  <si>
    <t>ד' חשון</t>
  </si>
  <si>
    <t>ה' חשון</t>
  </si>
  <si>
    <t>ו' חשון</t>
  </si>
  <si>
    <t>ז' חשון</t>
  </si>
  <si>
    <t>ח' חשון</t>
  </si>
  <si>
    <t>ט' חשון</t>
  </si>
  <si>
    <t>י' חשון</t>
  </si>
  <si>
    <t>יא חשון</t>
  </si>
  <si>
    <t>יב חשון</t>
  </si>
  <si>
    <t>יג חשון</t>
  </si>
  <si>
    <t>יד חשון</t>
  </si>
  <si>
    <t>ט"ו חשון</t>
  </si>
  <si>
    <t>ט"ז חשון</t>
  </si>
  <si>
    <t>י"ז חשון</t>
  </si>
  <si>
    <t>י"ח חשון</t>
  </si>
  <si>
    <t>י"ט חשון</t>
  </si>
  <si>
    <t>כ' חשון</t>
  </si>
  <si>
    <t>כ"א חשון</t>
  </si>
  <si>
    <t>כ"ב חשון</t>
  </si>
  <si>
    <t>כ"ג חשון</t>
  </si>
  <si>
    <t>כ"ד חשון</t>
  </si>
  <si>
    <t>כ"ה חשון</t>
  </si>
  <si>
    <t>כ"ו חשון</t>
  </si>
  <si>
    <t>כ"ז חשון</t>
  </si>
  <si>
    <t>כ"ח חשון</t>
  </si>
  <si>
    <t>כ"ט חשון</t>
  </si>
  <si>
    <t>ל' חשון</t>
  </si>
  <si>
    <t>א' כסלו</t>
  </si>
  <si>
    <t>ב' כסלו</t>
  </si>
  <si>
    <t>ג' כסלו</t>
  </si>
  <si>
    <t>ד' כסלו</t>
  </si>
  <si>
    <t>ה' כסלו</t>
  </si>
  <si>
    <t>ו' כסלו</t>
  </si>
  <si>
    <t>ז' כסלו</t>
  </si>
  <si>
    <t>ח' כסלו</t>
  </si>
  <si>
    <t>ט' כסלו</t>
  </si>
  <si>
    <t>י' כסלו</t>
  </si>
  <si>
    <t>יא כסלו</t>
  </si>
  <si>
    <t>יב כסלו</t>
  </si>
  <si>
    <t>יג כסלו</t>
  </si>
  <si>
    <t>יד כסלו</t>
  </si>
  <si>
    <t>ט"ו כסלו</t>
  </si>
  <si>
    <t>ט"ז כסלו</t>
  </si>
  <si>
    <t>י"ז כסלו</t>
  </si>
  <si>
    <t>י"ח כסלו</t>
  </si>
  <si>
    <t>י"ט כסלו</t>
  </si>
  <si>
    <t>כ' כסלו</t>
  </si>
  <si>
    <t>כ"א כסלו</t>
  </si>
  <si>
    <t>כ"ב כסלו</t>
  </si>
  <si>
    <t>כ"ג כסלו</t>
  </si>
  <si>
    <t>כ"ד כסלו</t>
  </si>
  <si>
    <t>כ"ה כסלו</t>
  </si>
  <si>
    <t>כ"ו כסלו</t>
  </si>
  <si>
    <t>כ"ז כסלו</t>
  </si>
  <si>
    <t>כ"ח כסלו</t>
  </si>
  <si>
    <t>כ"ט כסלו</t>
  </si>
  <si>
    <t>ל' כסלו</t>
  </si>
  <si>
    <t>א' טבת</t>
  </si>
  <si>
    <t>ב' טבת</t>
  </si>
  <si>
    <t>ג' טבת</t>
  </si>
  <si>
    <t>ד' טבת</t>
  </si>
  <si>
    <t>ה' טבת</t>
  </si>
  <si>
    <t>ו' טבת</t>
  </si>
  <si>
    <t>ז' טבת</t>
  </si>
  <si>
    <t>ח' טבת</t>
  </si>
  <si>
    <t>ט' טבת</t>
  </si>
  <si>
    <t>י' טבת</t>
  </si>
  <si>
    <t>יא טבת</t>
  </si>
  <si>
    <t>יב טבת</t>
  </si>
  <si>
    <t>יג טבת</t>
  </si>
  <si>
    <t>יד טבת</t>
  </si>
  <si>
    <t>ט"ו טבת</t>
  </si>
  <si>
    <t>ט"ז טבת</t>
  </si>
  <si>
    <t>י"ז טבת</t>
  </si>
  <si>
    <t>י"ח טבת</t>
  </si>
  <si>
    <t>י"ט טבת</t>
  </si>
  <si>
    <t>כ' טבת</t>
  </si>
  <si>
    <t>כ"א טבת</t>
  </si>
  <si>
    <t>כ"ב טבת</t>
  </si>
  <si>
    <t>כ"ג טבת</t>
  </si>
  <si>
    <t>כ"ד טבת</t>
  </si>
  <si>
    <t>כ"ה טבת</t>
  </si>
  <si>
    <t>כ"ו טבת</t>
  </si>
  <si>
    <t>כ"ז טבת</t>
  </si>
  <si>
    <t>כ"ח טבת</t>
  </si>
  <si>
    <t>כ"ט טבת</t>
  </si>
  <si>
    <t>ל' טבת</t>
  </si>
  <si>
    <t>א' שבט</t>
  </si>
  <si>
    <t>ב' שבט</t>
  </si>
  <si>
    <t>ג' שבט</t>
  </si>
  <si>
    <t>ד' שבט</t>
  </si>
  <si>
    <t>ה' שבט</t>
  </si>
  <si>
    <t>ו' שבט</t>
  </si>
  <si>
    <t>ז' שבט</t>
  </si>
  <si>
    <t>ח' שבט</t>
  </si>
  <si>
    <t>ט' שבט</t>
  </si>
  <si>
    <t>י' שבט</t>
  </si>
  <si>
    <t>יא שבט</t>
  </si>
  <si>
    <t>יב שבט</t>
  </si>
  <si>
    <t>יג שבט</t>
  </si>
  <si>
    <t>יד שבט</t>
  </si>
  <si>
    <t>ט"ו שבט</t>
  </si>
  <si>
    <t>ט"ז שבט</t>
  </si>
  <si>
    <t>י"ז שבט</t>
  </si>
  <si>
    <t>י"ח שבט</t>
  </si>
  <si>
    <t>י"ט שבט</t>
  </si>
  <si>
    <t>כ' שבט</t>
  </si>
  <si>
    <t>כ"א שבט</t>
  </si>
  <si>
    <t>כ"ב שבט</t>
  </si>
  <si>
    <t>כ"ג שבט</t>
  </si>
  <si>
    <t>כ"ד שבט</t>
  </si>
  <si>
    <t>כ"ה שבט</t>
  </si>
  <si>
    <t>כ"ו שבט</t>
  </si>
  <si>
    <t>כ"ז שבט</t>
  </si>
  <si>
    <t>כ"ח שבט</t>
  </si>
  <si>
    <t>כ"ט שבט</t>
  </si>
  <si>
    <t>ל' שבט</t>
  </si>
  <si>
    <t>א' אדר</t>
  </si>
  <si>
    <t>ב' אדר</t>
  </si>
  <si>
    <t>ג' אדר</t>
  </si>
  <si>
    <t>ד' אדר</t>
  </si>
  <si>
    <t>ה' אדר</t>
  </si>
  <si>
    <t>ו' אדר</t>
  </si>
  <si>
    <t>ז' אדר</t>
  </si>
  <si>
    <t>ח' אדר</t>
  </si>
  <si>
    <t>ט' אדר</t>
  </si>
  <si>
    <t>י' אדר</t>
  </si>
  <si>
    <t>יא אדר</t>
  </si>
  <si>
    <t>יב אדר</t>
  </si>
  <si>
    <t>יג אדר</t>
  </si>
  <si>
    <t>יד אדר</t>
  </si>
  <si>
    <t>ט"ו אדר</t>
  </si>
  <si>
    <t>ט"ז אדר</t>
  </si>
  <si>
    <t>י"ז אדר</t>
  </si>
  <si>
    <t>י"ח אדר</t>
  </si>
  <si>
    <t>י"ט אדר</t>
  </si>
  <si>
    <t>כ' אדר</t>
  </si>
  <si>
    <t>כ"א אדר</t>
  </si>
  <si>
    <t>כ"ב אדר</t>
  </si>
  <si>
    <t>כ"ג אדר</t>
  </si>
  <si>
    <t>כ"ד אדר</t>
  </si>
  <si>
    <t>כ"ה אדר</t>
  </si>
  <si>
    <t>כ"ו אדר</t>
  </si>
  <si>
    <t>כ"ז אדר</t>
  </si>
  <si>
    <t>כ"ח אדר</t>
  </si>
  <si>
    <t>כ"ט אדר</t>
  </si>
  <si>
    <t>ל' אדר</t>
  </si>
  <si>
    <t>א' ניסן</t>
  </si>
  <si>
    <t>ב' ניסן</t>
  </si>
  <si>
    <t>ג' ניסן</t>
  </si>
  <si>
    <t>ד' ניסן</t>
  </si>
  <si>
    <t>ה' ניסן</t>
  </si>
  <si>
    <t>ו' ניסן</t>
  </si>
  <si>
    <t>ז' ניסן</t>
  </si>
  <si>
    <t>ח' ניסן</t>
  </si>
  <si>
    <t>ט' ניסן</t>
  </si>
  <si>
    <t>י' ניסן</t>
  </si>
  <si>
    <t>יא ניסן</t>
  </si>
  <si>
    <t>יב ניסן</t>
  </si>
  <si>
    <t>יג ניסן</t>
  </si>
  <si>
    <t>יד ניסן</t>
  </si>
  <si>
    <t>ט"ו ניסן</t>
  </si>
  <si>
    <t>ט"ז ניסן</t>
  </si>
  <si>
    <t>י"ז ניסן</t>
  </si>
  <si>
    <t>י"ח ניסן</t>
  </si>
  <si>
    <t>י"ט ניסן</t>
  </si>
  <si>
    <t>כ' ניסן</t>
  </si>
  <si>
    <t>כ"א ניסן</t>
  </si>
  <si>
    <t>כ"ב ניסן</t>
  </si>
  <si>
    <t>כ"ג ניסן</t>
  </si>
  <si>
    <t>כ"ד ניסן</t>
  </si>
  <si>
    <t>כ"ה ניסן</t>
  </si>
  <si>
    <t>כ"ו ניסן</t>
  </si>
  <si>
    <t>כ"ז ניסן</t>
  </si>
  <si>
    <t>כ"ח ניסן</t>
  </si>
  <si>
    <t>כ"ט ניסן</t>
  </si>
  <si>
    <t>ל' ניסן</t>
  </si>
  <si>
    <t>א' אייר</t>
  </si>
  <si>
    <t>ב' אייר</t>
  </si>
  <si>
    <t>ג' אייר</t>
  </si>
  <si>
    <t>ד' אייר</t>
  </si>
  <si>
    <t>ה' אייר</t>
  </si>
  <si>
    <t>ו' אייר</t>
  </si>
  <si>
    <t>ז' אייר</t>
  </si>
  <si>
    <t>ח' אייר</t>
  </si>
  <si>
    <t>ט' אייר</t>
  </si>
  <si>
    <t>י' אייר</t>
  </si>
  <si>
    <t>ט"ו אייר</t>
  </si>
  <si>
    <t>ט"ז אייר</t>
  </si>
  <si>
    <t>י"ז אייר</t>
  </si>
  <si>
    <t>י"ח אייר</t>
  </si>
  <si>
    <t>י"ט אייר</t>
  </si>
  <si>
    <t>כ' אייר</t>
  </si>
  <si>
    <t>כ"א אייר</t>
  </si>
  <si>
    <t>כ"ב אייר</t>
  </si>
  <si>
    <t>כ"ג אייר</t>
  </si>
  <si>
    <t>כ"ד אייר</t>
  </si>
  <si>
    <t>כ"ה אייר</t>
  </si>
  <si>
    <t>כ"ו אייר</t>
  </si>
  <si>
    <t>כ"ז אייר</t>
  </si>
  <si>
    <t>כ"ח אייר</t>
  </si>
  <si>
    <t>כ"ט אייר</t>
  </si>
  <si>
    <t>ל' אייר</t>
  </si>
  <si>
    <t>א' סיון</t>
  </si>
  <si>
    <t>ב' סיון</t>
  </si>
  <si>
    <t>ג' סיון</t>
  </si>
  <si>
    <t>ד' סיון</t>
  </si>
  <si>
    <t>ה' סיון</t>
  </si>
  <si>
    <t>ו' סיון</t>
  </si>
  <si>
    <t>ז' סיון</t>
  </si>
  <si>
    <t>ח' סיון</t>
  </si>
  <si>
    <t>ט' סיון</t>
  </si>
  <si>
    <t>י' סיון</t>
  </si>
  <si>
    <t>יא סיון</t>
  </si>
  <si>
    <t>יב סיון</t>
  </si>
  <si>
    <t>יג סיון</t>
  </si>
  <si>
    <t>יד סיון</t>
  </si>
  <si>
    <t>ט"ו סיון</t>
  </si>
  <si>
    <t>ט"ז סיון</t>
  </si>
  <si>
    <t>י"ז סיון</t>
  </si>
  <si>
    <t>י"ח סיון</t>
  </si>
  <si>
    <t>י"ט סיון</t>
  </si>
  <si>
    <t>כ' סיון</t>
  </si>
  <si>
    <t>כ"א סיון</t>
  </si>
  <si>
    <t>כ"ב סיון</t>
  </si>
  <si>
    <t>כ"ג סיון</t>
  </si>
  <si>
    <t>כ"ד סיון</t>
  </si>
  <si>
    <t>כ"ה סיון</t>
  </si>
  <si>
    <t>כ"ו סיון</t>
  </si>
  <si>
    <t>כ"ז סיון</t>
  </si>
  <si>
    <t>כ"ח סיון</t>
  </si>
  <si>
    <t>כ"ט סיון</t>
  </si>
  <si>
    <t>ל' סיון</t>
  </si>
  <si>
    <t>א' תמוז</t>
  </si>
  <si>
    <t>ב' תמוז</t>
  </si>
  <si>
    <t>ג' תמוז</t>
  </si>
  <si>
    <t>ד' תמוז</t>
  </si>
  <si>
    <t>ה' תמוז</t>
  </si>
  <si>
    <t>ו' תמוז</t>
  </si>
  <si>
    <t>ז' תמוז</t>
  </si>
  <si>
    <t>ח' תמוז</t>
  </si>
  <si>
    <t>ט' תמוז</t>
  </si>
  <si>
    <t>י' תמוז</t>
  </si>
  <si>
    <t>יא תמוז</t>
  </si>
  <si>
    <t>יב תמוז</t>
  </si>
  <si>
    <t>יג תמוז</t>
  </si>
  <si>
    <t>יד תמוז</t>
  </si>
  <si>
    <t>ט"ו תמוז</t>
  </si>
  <si>
    <t>ט"ז תמוז</t>
  </si>
  <si>
    <t>י"ז תמוז</t>
  </si>
  <si>
    <t>י"ח תמוז</t>
  </si>
  <si>
    <t>י"ט תמוז</t>
  </si>
  <si>
    <t>כ' תמוז</t>
  </si>
  <si>
    <t>כ"א תמוז</t>
  </si>
  <si>
    <t>כ"ב תמוז</t>
  </si>
  <si>
    <t>כ"ג תמוז</t>
  </si>
  <si>
    <t>כ"ד תמוז</t>
  </si>
  <si>
    <t>כ"ה תמוז</t>
  </si>
  <si>
    <t>כ"ו תמוז</t>
  </si>
  <si>
    <t>כ"ז תמוז</t>
  </si>
  <si>
    <t>כ"ח תמוז</t>
  </si>
  <si>
    <t>כ"ט תמוז</t>
  </si>
  <si>
    <t>ל' תמוז</t>
  </si>
  <si>
    <t>א' אב</t>
  </si>
  <si>
    <t>ב' אב</t>
  </si>
  <si>
    <t>ג' אב</t>
  </si>
  <si>
    <t>ד' אב</t>
  </si>
  <si>
    <t>ה' אב</t>
  </si>
  <si>
    <t>ו' אב</t>
  </si>
  <si>
    <t>ז' אב</t>
  </si>
  <si>
    <t>ח' אב</t>
  </si>
  <si>
    <t>ט' אב</t>
  </si>
  <si>
    <t>י' אב</t>
  </si>
  <si>
    <t>יא אב</t>
  </si>
  <si>
    <t>יב אב</t>
  </si>
  <si>
    <t>יג אב</t>
  </si>
  <si>
    <t>יד אב</t>
  </si>
  <si>
    <t>ט"ו אב</t>
  </si>
  <si>
    <t>ט"ז אב</t>
  </si>
  <si>
    <t>י"ז אב</t>
  </si>
  <si>
    <t>י"ח אב</t>
  </si>
  <si>
    <t>י"ט אב</t>
  </si>
  <si>
    <t>כ' אב</t>
  </si>
  <si>
    <t>כ"א אב</t>
  </si>
  <si>
    <t>כ"ב אב</t>
  </si>
  <si>
    <t>כ"ג אב</t>
  </si>
  <si>
    <t>כ"ד אב</t>
  </si>
  <si>
    <t>כ"ה אב</t>
  </si>
  <si>
    <t>כ"ו אב</t>
  </si>
  <si>
    <t>כ"ז אב</t>
  </si>
  <si>
    <t>כ"ח אב</t>
  </si>
  <si>
    <t>כ"ט אב</t>
  </si>
  <si>
    <t>ל' אב</t>
  </si>
  <si>
    <t>א' אלול</t>
  </si>
  <si>
    <t>ב' אלול</t>
  </si>
  <si>
    <t>ג' אלול</t>
  </si>
  <si>
    <t>ד' אלול</t>
  </si>
  <si>
    <t>ה' אלול</t>
  </si>
  <si>
    <t>ו' אלול</t>
  </si>
  <si>
    <t>ז' אלול</t>
  </si>
  <si>
    <t>ח' אלול</t>
  </si>
  <si>
    <t>ט' אלול</t>
  </si>
  <si>
    <t>י' אלול</t>
  </si>
  <si>
    <t>יא אלול</t>
  </si>
  <si>
    <t>יב אלול</t>
  </si>
  <si>
    <t>יג אלול</t>
  </si>
  <si>
    <t>יד אלול</t>
  </si>
  <si>
    <t>ט"ו אלול</t>
  </si>
  <si>
    <t>ט"ז אלול</t>
  </si>
  <si>
    <t>י"ז אלול</t>
  </si>
  <si>
    <t>י"ח אלול</t>
  </si>
  <si>
    <t>י"ט אלול</t>
  </si>
  <si>
    <t>כ' אלול</t>
  </si>
  <si>
    <t>כ"א אלול</t>
  </si>
  <si>
    <t>כ"ב אלול</t>
  </si>
  <si>
    <t>כ"ג אלול</t>
  </si>
  <si>
    <t>כ"ד אלול</t>
  </si>
  <si>
    <t>כ"ה אלול</t>
  </si>
  <si>
    <t>כ"ו אלול</t>
  </si>
  <si>
    <t>כ"ז אלול</t>
  </si>
  <si>
    <t>כ"ח אלול</t>
  </si>
  <si>
    <t>כ"ט אלול</t>
  </si>
  <si>
    <t>ל' אלול</t>
  </si>
  <si>
    <t>תאריך</t>
  </si>
  <si>
    <t>חגים</t>
  </si>
  <si>
    <t>שבוע</t>
  </si>
  <si>
    <t>שעה נוכחית</t>
  </si>
  <si>
    <t>תאריך היום</t>
  </si>
  <si>
    <t>תאריך לחישוב</t>
  </si>
  <si>
    <t>ראש השנה</t>
  </si>
  <si>
    <t>יום הכיפורים</t>
  </si>
  <si>
    <t>ערב יום הכיפורים</t>
  </si>
  <si>
    <t>ערב סוכות</t>
  </si>
  <si>
    <t>סוכות</t>
  </si>
  <si>
    <t>חול המועד סוכות</t>
  </si>
  <si>
    <t>ערב שמחת תורה</t>
  </si>
  <si>
    <t>שמחת תורה</t>
  </si>
  <si>
    <t>נר ראשון של חנוכה</t>
  </si>
  <si>
    <t>נר שני של חנוכה</t>
  </si>
  <si>
    <t>נר שלישי של חנוכה</t>
  </si>
  <si>
    <t>נר רביעי של חנוכה</t>
  </si>
  <si>
    <t>נר חמישי של חנוכה</t>
  </si>
  <si>
    <t>נר שישי של חנוכה</t>
  </si>
  <si>
    <t>נר שביעי של חנוכה</t>
  </si>
  <si>
    <t>נר שמיני של חנוכה</t>
  </si>
  <si>
    <t>ראש השנה לאילנות</t>
  </si>
  <si>
    <t>תענית אסתר</t>
  </si>
  <si>
    <t>פורים</t>
  </si>
  <si>
    <t>שושן פורים</t>
  </si>
  <si>
    <t>ערב פסח</t>
  </si>
  <si>
    <t>פסח</t>
  </si>
  <si>
    <t>חול המועד פסח</t>
  </si>
  <si>
    <t>פסח חג שני</t>
  </si>
  <si>
    <t>ערב חג שני</t>
  </si>
  <si>
    <t>ל"ג בעומר</t>
  </si>
  <si>
    <t>ערב שבועות</t>
  </si>
  <si>
    <t>שבועות</t>
  </si>
  <si>
    <t>ט"ו באב</t>
  </si>
  <si>
    <t>תשאה באב</t>
  </si>
  <si>
    <t>ערב תשאה באב</t>
  </si>
  <si>
    <t>חגים למצגות</t>
  </si>
  <si>
    <t>RoshHashana</t>
  </si>
  <si>
    <t>Kipur</t>
  </si>
  <si>
    <t>Sukot</t>
  </si>
  <si>
    <t>SimTora</t>
  </si>
  <si>
    <t>Hanuka</t>
  </si>
  <si>
    <t>TuBeshvat</t>
  </si>
  <si>
    <t>Purim</t>
  </si>
  <si>
    <t>Pesach</t>
  </si>
  <si>
    <t>LagBaomer</t>
  </si>
  <si>
    <t>Shvuot</t>
  </si>
  <si>
    <t>TishaBeav</t>
  </si>
  <si>
    <t>TuBeav</t>
  </si>
  <si>
    <t>חג היום</t>
  </si>
  <si>
    <t>זמני השבת הקרובה</t>
  </si>
  <si>
    <t>נרות שבת</t>
  </si>
  <si>
    <t>לזמני כניסת שבת ויציאת שבת של כל השבתות בשנה לחצו כאן!</t>
  </si>
  <si>
    <t>קישורים לזמני היום בכל עיר:</t>
  </si>
  <si>
    <t>לוח שנה לוח שנה שנתי לוח חגים ומועדים זמני היום והשבת כניסת שבת וחג לדף הבית 2net מאמר הסבר על לוח השנה וזמני היום</t>
  </si>
  <si>
    <t>דף הבית 2net</t>
  </si>
  <si>
    <t>לוח שנה עברי לועזי</t>
  </si>
  <si>
    <t>לוח שנה שנתי</t>
  </si>
  <si>
    <t>לוח חגים ומועדים</t>
  </si>
  <si>
    <t>כניסת שבת וחג</t>
  </si>
  <si>
    <t xml:space="preserve">עוד </t>
  </si>
  <si>
    <t>התזכורות שלי אודות לוח השנה הפרופיל שלי יצירת קשר</t>
  </si>
  <si>
    <t>ספטמבר</t>
  </si>
  <si>
    <t>-</t>
  </si>
  <si>
    <t>אוגוסט</t>
  </si>
  <si>
    <t>יציאה</t>
  </si>
  <si>
    <t>הזמנים-עבור: תל אביב הגדרות</t>
  </si>
  <si>
    <t>הדפסההדפסה</t>
  </si>
  <si>
    <t>זמן טלית ותפילין</t>
  </si>
  <si>
    <t>אופקים, אור יהודה, אילת, אלעד, אשדוד, אשקלון, באר שבע, בית שאן, בית שמש, ביתר עילית, בני ברק, בת ים, גבעתים, הוד השרון, הרצליה, חדרה, חולון, חיפה, טבריה, יבנה, ירושלים, כפר סבא, כרמיאל, לוד, מודיעין, מודיעין עילית, מעלה אדומים, מעלות, נהריה, נס ציונה, נצרת עילית, נתניה, עכו, עפולה, פתח תקוה, צפת, קצרין, קרית אונו, קרית ארבע, קרית אתא, קרית ביאליק, קרית גת, קרית ים, קרית מוצקין, קרית שמונה, ראש העין, ראשון לציון, רחובות, רמלה, רמת גן, רמת השרון, רעננה, שלומי, תל אביב</t>
  </si>
  <si>
    <t>פיתוח: אחד ועוד אחד</t>
  </si>
  <si>
    <t>כניסה</t>
  </si>
  <si>
    <t>אדר א 01</t>
  </si>
  <si>
    <t>אדר ב 01</t>
  </si>
  <si>
    <t>אדר א 02</t>
  </si>
  <si>
    <t>אדר א 03</t>
  </si>
  <si>
    <t>אדר א 04</t>
  </si>
  <si>
    <t>אדר א 05</t>
  </si>
  <si>
    <t>אדר א 06</t>
  </si>
  <si>
    <t>אדר א 07</t>
  </si>
  <si>
    <t>אדר א 08</t>
  </si>
  <si>
    <t>אדר א 09</t>
  </si>
  <si>
    <t>אדר א 10</t>
  </si>
  <si>
    <t>אדר א 11</t>
  </si>
  <si>
    <t>אדר א 12</t>
  </si>
  <si>
    <t>אדר א 13</t>
  </si>
  <si>
    <t>אדר א 14</t>
  </si>
  <si>
    <t>אדר א 15</t>
  </si>
  <si>
    <t>אדר א 16</t>
  </si>
  <si>
    <t>אדר א 17</t>
  </si>
  <si>
    <t>אדר א 18</t>
  </si>
  <si>
    <t>אדר א 19</t>
  </si>
  <si>
    <t>אדר א 20</t>
  </si>
  <si>
    <t>אדר א 21</t>
  </si>
  <si>
    <t>אדר א 22</t>
  </si>
  <si>
    <t>אדר א 23</t>
  </si>
  <si>
    <t>אדר א 24</t>
  </si>
  <si>
    <t>אדר א 25</t>
  </si>
  <si>
    <t>אדר א 26</t>
  </si>
  <si>
    <t>אדר א 27</t>
  </si>
  <si>
    <t>אדר א 28</t>
  </si>
  <si>
    <t>אדר א 29</t>
  </si>
  <si>
    <t>אדר א 30</t>
  </si>
  <si>
    <t>אדר ב 02</t>
  </si>
  <si>
    <t>אדר ב 03</t>
  </si>
  <si>
    <t>אדר ב 04</t>
  </si>
  <si>
    <t>אדר ב 05</t>
  </si>
  <si>
    <t>אדר ב 06</t>
  </si>
  <si>
    <t>אדר ב 07</t>
  </si>
  <si>
    <t>אדר ב 08</t>
  </si>
  <si>
    <t>אדר ב 09</t>
  </si>
  <si>
    <t>אדר ב 10</t>
  </si>
  <si>
    <t>אדר ב 11</t>
  </si>
  <si>
    <t>אדר ב 12</t>
  </si>
  <si>
    <t>אדר ב 13</t>
  </si>
  <si>
    <t>אדר ב 14</t>
  </si>
  <si>
    <t>אדר ב 15</t>
  </si>
  <si>
    <t>אדר ב 16</t>
  </si>
  <si>
    <t>אדר ב 17</t>
  </si>
  <si>
    <t>אדר ב 18</t>
  </si>
  <si>
    <t>אדר ב 19</t>
  </si>
  <si>
    <t>אדר ב 20</t>
  </si>
  <si>
    <t>אדר ב 21</t>
  </si>
  <si>
    <t>אדר ב 22</t>
  </si>
  <si>
    <t>אדר ב 23</t>
  </si>
  <si>
    <t>אדר ב 24</t>
  </si>
  <si>
    <t>אדר ב 25</t>
  </si>
  <si>
    <t>אדר ב 26</t>
  </si>
  <si>
    <t>אדר ב 27</t>
  </si>
  <si>
    <t>אדר ב 28</t>
  </si>
  <si>
    <t>אדר ב 29</t>
  </si>
  <si>
    <t>אדר ב 30</t>
  </si>
  <si>
    <t>א' אדר א'</t>
  </si>
  <si>
    <t>ב' אדר א'</t>
  </si>
  <si>
    <t>ג' אדר א'</t>
  </si>
  <si>
    <t>ד' אדר א'</t>
  </si>
  <si>
    <t>ה' אדר א'</t>
  </si>
  <si>
    <t>ו' אדר א'</t>
  </si>
  <si>
    <t>ז' אדר א'</t>
  </si>
  <si>
    <t>ח' אדר א'</t>
  </si>
  <si>
    <t>ט' אדר א'</t>
  </si>
  <si>
    <t>י' אדר א'</t>
  </si>
  <si>
    <t>יא אדר א'</t>
  </si>
  <si>
    <t>יב אדר א'</t>
  </si>
  <si>
    <t>יג אדר א'</t>
  </si>
  <si>
    <t>יד אדר א'</t>
  </si>
  <si>
    <t>ט"ו אדר א'</t>
  </si>
  <si>
    <t>ט"ז אדר א'</t>
  </si>
  <si>
    <t>י"ז אדר א'</t>
  </si>
  <si>
    <t>י"ח אדר א'</t>
  </si>
  <si>
    <t>י"ט אדר א'</t>
  </si>
  <si>
    <t>כ' אדר א'</t>
  </si>
  <si>
    <t>כ"א אדר א'</t>
  </si>
  <si>
    <t>כ"ב אדר א'</t>
  </si>
  <si>
    <t>כ"ג אדר א'</t>
  </si>
  <si>
    <t>כ"ד אדר א'</t>
  </si>
  <si>
    <t>כ"ה אדר א'</t>
  </si>
  <si>
    <t>כ"ו אדר א'</t>
  </si>
  <si>
    <t>כ"ז אדר א'</t>
  </si>
  <si>
    <t>כ"ח אדר א'</t>
  </si>
  <si>
    <t>כ"ט אדר א'</t>
  </si>
  <si>
    <t>ל' אדר א'</t>
  </si>
  <si>
    <t>א' אדר ב'</t>
  </si>
  <si>
    <t>ב' אדר ב'</t>
  </si>
  <si>
    <t>ג' אדר ב'</t>
  </si>
  <si>
    <t>ד' אדר ב'</t>
  </si>
  <si>
    <t>ה' אדר ב'</t>
  </si>
  <si>
    <t>ו' אדר ב'</t>
  </si>
  <si>
    <t>ז' אדר ב'</t>
  </si>
  <si>
    <t>ח' אדר ב'</t>
  </si>
  <si>
    <t>ט' אדר ב'</t>
  </si>
  <si>
    <t>י' אדר ב'</t>
  </si>
  <si>
    <t>יא אדר ב'</t>
  </si>
  <si>
    <t>יב אדר ב'</t>
  </si>
  <si>
    <t>יג אדר ב'</t>
  </si>
  <si>
    <t>יד אדר ב'</t>
  </si>
  <si>
    <t>ט"ו אדר ב'</t>
  </si>
  <si>
    <t>ט"ז אדר ב'</t>
  </si>
  <si>
    <t>י"ז אדר ב'</t>
  </si>
  <si>
    <t>י"ח אדר ב'</t>
  </si>
  <si>
    <t>י"ט אדר ב'</t>
  </si>
  <si>
    <t>כ' אדר ב'</t>
  </si>
  <si>
    <t>כ"א אדר ב'</t>
  </si>
  <si>
    <t>כ"ב אדר ב'</t>
  </si>
  <si>
    <t>כ"ג אדר ב'</t>
  </si>
  <si>
    <t>כ"ד אדר ב'</t>
  </si>
  <si>
    <t>כ"ה אדר ב'</t>
  </si>
  <si>
    <t>כ"ו אדר ב'</t>
  </si>
  <si>
    <t>כ"ז אדר ב'</t>
  </si>
  <si>
    <t>כ"ח אדר ב'</t>
  </si>
  <si>
    <t>כ"ט אדר ב'</t>
  </si>
  <si>
    <t>ל' אדר ב'</t>
  </si>
  <si>
    <t>תוספות לתפילה</t>
  </si>
  <si>
    <t>הלל</t>
  </si>
  <si>
    <t>אין אומרים תחנון</t>
  </si>
  <si>
    <t>הלל שלם</t>
  </si>
  <si>
    <t>משיב הרוח ומוריד הגשם</t>
  </si>
  <si>
    <t>מוריד הטל</t>
  </si>
  <si>
    <t>ברך עלינו</t>
  </si>
  <si>
    <t>ברכנו</t>
  </si>
  <si>
    <t>ברכי נפשי</t>
  </si>
  <si>
    <t>תחנון לתענית</t>
  </si>
  <si>
    <t>אבינו מלכנו</t>
  </si>
  <si>
    <t>יעלה ויבוא</t>
  </si>
  <si>
    <t>תוספות היום</t>
  </si>
  <si>
    <t>שבת הגדול</t>
  </si>
  <si>
    <t>קורבנות הנשיאים</t>
  </si>
  <si>
    <t>שבוע הבא</t>
  </si>
  <si>
    <t>שבוע נוכחי</t>
  </si>
  <si>
    <t>שבת שקלים</t>
  </si>
  <si>
    <t>שבת זכור</t>
  </si>
  <si>
    <t>שבת פרה</t>
  </si>
  <si>
    <t>שבת החודש</t>
  </si>
  <si>
    <t>שבת מיוחדת</t>
  </si>
  <si>
    <t>אין אומרים תחנון במנחה</t>
  </si>
  <si>
    <t>הכרזת ראש חודש</t>
  </si>
  <si>
    <t>יום ראשון</t>
  </si>
  <si>
    <t>יום שני</t>
  </si>
  <si>
    <t>יום שלישי</t>
  </si>
  <si>
    <t>יום רביעי</t>
  </si>
  <si>
    <t>יום חמישי</t>
  </si>
  <si>
    <t>יום שישי</t>
  </si>
  <si>
    <t>יום שבת</t>
  </si>
  <si>
    <t>ספירת העומר</t>
  </si>
  <si>
    <t>חג לתוכנה</t>
  </si>
  <si>
    <t>חג מובן</t>
  </si>
  <si>
    <t>צום</t>
  </si>
  <si>
    <t>Azmaut</t>
  </si>
  <si>
    <t>9Beav</t>
  </si>
  <si>
    <t>Zom</t>
  </si>
  <si>
    <t>יום העצמאות</t>
  </si>
  <si>
    <t>תשעה באב</t>
  </si>
  <si>
    <t>יום שישי - כ"ו אייר ה'תשע"ח, 11/05/2018</t>
  </si>
  <si>
    <t>יום קודםכ"ה אייר ה'תשע"ח</t>
  </si>
  <si>
    <t>יום הבאכ"ז אייר ה'תשע"ח</t>
  </si>
  <si>
    <t>זבחים כ"ח</t>
  </si>
  <si>
    <t>סנהדרין מ"ג</t>
  </si>
  <si>
    <t>הלכות אישות כ"א</t>
  </si>
  <si>
    <t>היום אחד וארבעים יום לעומר שהם חמישה שבועות ושישה ימים</t>
  </si>
  <si>
    <t>כ"ז אייר ה'תשע"ח 12/05/2018</t>
  </si>
  <si>
    <t>פרשת השבוע: בחוקותי</t>
  </si>
  <si>
    <t>הפטרה: ה' עזי ומעזי (ירמיהו טז,יט-יז,יד)</t>
  </si>
  <si>
    <t>שבת מברכים: חודש סיוון</t>
  </si>
  <si>
    <t>המולד: ליל שלישי, בשעה 5 בלילה, 21 דקות ו6 חלקים</t>
  </si>
  <si>
    <t>הדלקת נרות: 19:08</t>
  </si>
  <si>
    <t>צאת השבת: 20:08</t>
  </si>
  <si>
    <t>צאת השבת לרבינו תם: 20:41</t>
  </si>
  <si>
    <t>כ"ו באייר ה'תשע"ח, 11 במאי 2018</t>
  </si>
  <si>
    <t>שבת מברכין, פרקי אבות פרק ה</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</si>
</sst>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dddd"/>
    <numFmt numFmtId="165" formatCode="[$-101040D]d\ mmmm\ yyyy;@"/>
    <numFmt numFmtId="166" formatCode="[$-F400]h:mm:ss\ AM/PM"/>
    <numFmt numFmtId="167" formatCode="[$-8040D]dd\ mmmm\ yyyy;@"/>
    <numFmt numFmtId="168" formatCode="[$-1000000]h:mm;@"/>
    <numFmt numFmtId="169" formatCode="0;;;@"/>
    <numFmt numFmtId="170" formatCode="h:mm;@"/>
  </numFmts>
  <fonts count="50">
    <font>
      <sz val="11"/>
      <name val="Arial"/>
      <charset val="177"/>
    </font>
    <font>
      <sz val="11"/>
      <color theme="1"/>
      <name val="Arial"/>
      <family val="2"/>
      <charset val="177"/>
      <scheme val="minor"/>
    </font>
    <font>
      <sz val="11"/>
      <color theme="1"/>
      <name val="Arial"/>
      <family val="2"/>
      <charset val="177"/>
      <scheme val="minor"/>
    </font>
    <font>
      <sz val="11"/>
      <color theme="1"/>
      <name val="Arial"/>
      <family val="2"/>
      <charset val="177"/>
      <scheme val="minor"/>
    </font>
    <font>
      <sz val="11"/>
      <color theme="1"/>
      <name val="Arial"/>
      <family val="2"/>
      <charset val="177"/>
      <scheme val="minor"/>
    </font>
    <font>
      <sz val="11"/>
      <color theme="1"/>
      <name val="Arial"/>
      <family val="2"/>
      <charset val="177"/>
      <scheme val="minor"/>
    </font>
    <font>
      <sz val="10"/>
      <name val="Arial"/>
      <family val="2"/>
    </font>
    <font>
      <b/>
      <i/>
      <u/>
      <sz val="10"/>
      <name val="Arial"/>
      <family val="2"/>
    </font>
    <font>
      <sz val="10"/>
      <name val="Arial"/>
      <family val="2"/>
    </font>
    <font>
      <b/>
      <sz val="10"/>
      <name val="Arial"/>
      <family val="2"/>
    </font>
    <font>
      <b/>
      <sz val="10"/>
      <color indexed="10"/>
      <name val="Arial"/>
      <family val="2"/>
    </font>
    <font>
      <b/>
      <sz val="10"/>
      <color indexed="12"/>
      <name val="Arial"/>
      <family val="2"/>
    </font>
    <font>
      <b/>
      <i/>
      <sz val="10"/>
      <name val="Arial"/>
      <family val="2"/>
    </font>
    <font>
      <sz val="12"/>
      <color indexed="10"/>
      <name val="Arial"/>
      <family val="2"/>
    </font>
    <font>
      <sz val="14"/>
      <name val="Arial"/>
      <family val="2"/>
      <scheme val="minor"/>
    </font>
    <font>
      <sz val="9"/>
      <color indexed="81"/>
      <name val="Tahoma"/>
      <family val="2"/>
    </font>
    <font>
      <sz val="10"/>
      <color rgb="FFFF0000"/>
      <name val="Arial"/>
      <family val="2"/>
    </font>
    <font>
      <sz val="11"/>
      <name val="Arial"/>
      <family val="2"/>
    </font>
    <font>
      <b/>
      <sz val="26"/>
      <color rgb="FFFFC000"/>
      <name val="Arial"/>
      <family val="2"/>
      <scheme val="minor"/>
    </font>
    <font>
      <sz val="11"/>
      <color theme="0"/>
      <name val="Arial"/>
      <family val="2"/>
      <charset val="177"/>
      <scheme val="minor"/>
    </font>
    <font>
      <sz val="11"/>
      <color theme="1"/>
      <name val="Arial"/>
      <family val="2"/>
      <charset val="177"/>
      <scheme val="minor"/>
    </font>
    <font>
      <sz val="11"/>
      <color theme="4" tint="-0.249977111117893"/>
      <name val="Arial"/>
      <family val="2"/>
      <charset val="177"/>
      <scheme val="minor"/>
    </font>
    <font>
      <sz val="11"/>
      <color theme="4" tint="-0.24994659260841701"/>
      <name val="Arial"/>
      <family val="2"/>
      <charset val="177"/>
      <scheme val="minor"/>
    </font>
    <font>
      <b/>
      <sz val="11"/>
      <color theme="4" tint="-0.249977111117893"/>
      <name val="Arial"/>
      <family val="2"/>
      <scheme val="minor"/>
    </font>
    <font>
      <b/>
      <sz val="26"/>
      <color theme="0"/>
      <name val="Arial"/>
      <family val="2"/>
      <scheme val="minor"/>
    </font>
    <font>
      <sz val="11"/>
      <color theme="7" tint="-0.499984740745262"/>
      <name val="Arial"/>
      <family val="2"/>
      <scheme val="minor"/>
    </font>
    <font>
      <b/>
      <sz val="11"/>
      <color theme="7" tint="-0.499984740745262"/>
      <name val="Arial"/>
      <family val="2"/>
      <scheme val="minor"/>
    </font>
    <font>
      <sz val="11"/>
      <name val="Arial"/>
      <family val="2"/>
    </font>
    <font>
      <sz val="44"/>
      <color rgb="FFBF8F00"/>
      <name val="Arial"/>
      <family val="2"/>
      <charset val="177"/>
      <scheme val="minor"/>
    </font>
    <font>
      <sz val="11"/>
      <color theme="1"/>
      <name val="Arial"/>
      <family val="2"/>
      <charset val="177"/>
      <scheme val="minor"/>
    </font>
    <font>
      <b/>
      <sz val="11"/>
      <color theme="4" tint="-0.249977111117893"/>
      <name val="Book Antiqua"/>
      <family val="1"/>
    </font>
    <font>
      <sz val="11"/>
      <color rgb="FFBF8F00"/>
      <name val="Book Antiqua"/>
      <family val="1"/>
    </font>
    <font>
      <b/>
      <sz val="11"/>
      <color theme="4" tint="-0.249977111117893"/>
      <name val="Century"/>
      <family val="1"/>
    </font>
    <font>
      <b/>
      <sz val="11"/>
      <color theme="2" tint="-0.249977111117893"/>
      <name val="Century"/>
      <family val="1"/>
    </font>
    <font>
      <b/>
      <sz val="11"/>
      <color theme="9" tint="-0.499984740745262"/>
      <name val="Century"/>
      <family val="1"/>
    </font>
    <font>
      <b/>
      <i/>
      <sz val="11"/>
      <color theme="7" tint="-0.249977111117893"/>
      <name val="David"/>
      <family val="2"/>
    </font>
    <font>
      <sz val="11"/>
      <color rgb="FF006100"/>
      <name val="Arial"/>
      <family val="2"/>
      <charset val="177"/>
      <scheme val="minor"/>
    </font>
    <font>
      <sz val="11"/>
      <color rgb="FF9C5700"/>
      <name val="Arial"/>
      <family val="2"/>
      <charset val="177"/>
      <scheme val="minor"/>
    </font>
    <font>
      <b/>
      <sz val="11"/>
      <color rgb="FFFA7D00"/>
      <name val="Arial"/>
      <family val="2"/>
      <charset val="177"/>
      <scheme val="minor"/>
    </font>
    <font>
      <sz val="10"/>
      <name val="Arial Unicode MS"/>
      <family val="2"/>
    </font>
    <font>
      <b/>
      <sz val="11"/>
      <color rgb="FFC00000"/>
      <name val="Century"/>
      <family val="1"/>
    </font>
    <font>
      <u/>
      <sz val="11"/>
      <color theme="10"/>
      <name val="Arial"/>
      <family val="2"/>
    </font>
    <font>
      <sz val="11"/>
      <name val="Arial"/>
      <family val="2"/>
      <scheme val="minor"/>
    </font>
    <font>
      <b/>
      <sz val="11"/>
      <name val="Arial"/>
      <family val="2"/>
    </font>
    <font>
      <b/>
      <sz val="40"/>
      <color theme="5" tint="0.79998168889431442"/>
      <name val="Arial"/>
      <family val="2"/>
      <scheme val="minor"/>
    </font>
    <font>
      <b/>
      <sz val="11"/>
      <color theme="5" tint="-0.249977111117893"/>
      <name val="Arial"/>
      <family val="2"/>
      <scheme val="minor"/>
    </font>
    <font>
      <sz val="10"/>
      <name val="Arial"/>
      <family val="2"/>
      <scheme val="minor"/>
    </font>
    <font>
      <sz val="11"/>
      <color theme="1"/>
      <name val="Century"/>
      <family val="1"/>
    </font>
    <font>
      <sz val="10"/>
      <name val="Arial Unicode MS"/>
    </font>
    <font>
      <b/>
      <sz val="11"/>
      <color theme="0" tint="-0.14999847407452621"/>
      <name val="Arial"/>
      <family val="2"/>
      <scheme val="minor"/>
    </font>
  </fonts>
  <fills count="13">
    <fill>
      <patternFill patternType="none"/>
    </fill>
    <fill>
      <patternFill patternType="gray125"/>
    </fill>
    <fill>
      <patternFill patternType="solid">
        <fgColor indexed="13"/>
        <bgColor indexed="64"/>
      </patternFill>
    </fill>
    <fill>
      <patternFill patternType="solid">
        <fgColor indexed="41"/>
        <bgColor indexed="64"/>
      </patternFill>
    </fill>
    <fill>
      <patternFill patternType="solid">
        <fgColor indexed="47"/>
        <bgColor indexed="64"/>
      </patternFill>
    </fill>
    <fill>
      <patternFill patternType="solid">
        <fgColor theme="2"/>
        <bgColor indexed="64"/>
      </patternFill>
    </fill>
    <fill>
      <patternFill patternType="solid">
        <fgColor rgb="FF327CD6"/>
        <bgColor indexed="64"/>
      </patternFill>
    </fill>
    <fill>
      <patternFill patternType="solid">
        <fgColor rgb="FFDCB112"/>
        <bgColor indexed="64"/>
      </patternFill>
    </fill>
    <fill>
      <patternFill patternType="solid">
        <fgColor theme="7" tint="0.79998168889431442"/>
        <bgColor indexed="64"/>
      </patternFill>
    </fill>
    <fill>
      <patternFill patternType="solid">
        <fgColor rgb="FFC6EFCE"/>
      </patternFill>
    </fill>
    <fill>
      <patternFill patternType="solid">
        <fgColor rgb="FFFFEB9C"/>
      </patternFill>
    </fill>
    <fill>
      <patternFill patternType="solid">
        <fgColor rgb="FFF2F2F2"/>
      </patternFill>
    </fill>
    <fill>
      <patternFill patternType="solid">
        <fgColor rgb="FFFFFF00"/>
        <bgColor indexed="64"/>
      </patternFill>
    </fill>
  </fills>
  <borders count="20">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
      <left/>
      <right style="thin">
        <color indexed="64"/>
      </right>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right/>
      <top style="thin">
        <color indexed="64"/>
      </top>
      <bottom/>
      <diagonal/>
    </border>
    <border>
      <left/>
      <right/>
      <top/>
      <bottom style="thin">
        <color indexed="64"/>
      </bottom>
      <diagonal/>
    </border>
    <border>
      <left/>
      <right style="thin">
        <color theme="2"/>
      </right>
      <top/>
      <bottom/>
      <diagonal/>
    </border>
    <border>
      <left style="thin">
        <color rgb="FF7F7F7F"/>
      </left>
      <right style="thin">
        <color rgb="FF7F7F7F"/>
      </right>
      <top style="thin">
        <color rgb="FF7F7F7F"/>
      </top>
      <bottom style="thin">
        <color rgb="FF7F7F7F"/>
      </bottom>
      <diagonal/>
    </border>
    <border>
      <left/>
      <right style="thin">
        <color rgb="FFDCB112"/>
      </right>
      <top/>
      <bottom/>
      <diagonal/>
    </border>
    <border>
      <left/>
      <right style="thin">
        <color rgb="FF327CD6"/>
      </right>
      <top/>
      <bottom/>
      <diagonal/>
    </border>
  </borders>
  <cellStyleXfs count="7">
    <xf numFmtId="0" fontId="0" fillId="0" borderId="0"/>
    <xf numFmtId="0" fontId="6" fillId="0" borderId="0"/>
    <xf numFmtId="0" fontId="5" fillId="0" borderId="0"/>
    <xf numFmtId="0" fontId="36" fillId="9" borderId="0" applyNumberFormat="0" applyBorder="0" applyAlignment="0" applyProtection="0"/>
    <xf numFmtId="0" fontId="37" fillId="10" borderId="0" applyNumberFormat="0" applyBorder="0" applyAlignment="0" applyProtection="0"/>
    <xf numFmtId="0" fontId="38" fillId="11" borderId="17" applyNumberFormat="0" applyAlignment="0" applyProtection="0"/>
    <xf numFmtId="0" fontId="41" fillId="0" borderId="0" applyNumberFormat="0" applyFill="0" applyBorder="0" applyAlignment="0" applyProtection="0"/>
  </cellStyleXfs>
  <cellXfs count="155">
    <xf numFmtId="0" fontId="0" fillId="0" borderId="0" xfId="0"/>
    <xf numFmtId="0" fontId="7" fillId="0" borderId="1" xfId="1" applyFont="1" applyBorder="1" applyAlignment="1">
      <alignment horizontal="centerContinuous"/>
    </xf>
    <xf numFmtId="0" fontId="7" fillId="0" borderId="2" xfId="1" applyFont="1" applyBorder="1" applyAlignment="1">
      <alignment horizontal="centerContinuous"/>
    </xf>
    <xf numFmtId="0" fontId="7" fillId="0" borderId="3" xfId="1" applyFont="1" applyBorder="1" applyAlignment="1">
      <alignment horizontal="centerContinuous"/>
    </xf>
    <xf numFmtId="0" fontId="8" fillId="0" borderId="0" xfId="1" applyFont="1"/>
    <xf numFmtId="0" fontId="8" fillId="0" borderId="1" xfId="1" applyFont="1" applyBorder="1"/>
    <xf numFmtId="14" fontId="9" fillId="0" borderId="2" xfId="1" applyNumberFormat="1" applyFont="1" applyBorder="1"/>
    <xf numFmtId="0" fontId="9" fillId="0" borderId="2" xfId="1" applyFont="1" applyBorder="1" applyAlignment="1">
      <alignment horizontal="right"/>
    </xf>
    <xf numFmtId="0" fontId="9" fillId="0" borderId="3" xfId="1" applyFont="1" applyBorder="1"/>
    <xf numFmtId="0" fontId="9" fillId="0" borderId="1" xfId="1" applyFont="1" applyBorder="1"/>
    <xf numFmtId="0" fontId="8" fillId="0" borderId="4" xfId="1" applyFont="1" applyBorder="1" applyAlignment="1">
      <alignment horizontal="right"/>
    </xf>
    <xf numFmtId="0" fontId="8" fillId="0" borderId="3" xfId="1" applyFont="1" applyBorder="1" applyAlignment="1">
      <alignment horizontal="right"/>
    </xf>
    <xf numFmtId="14" fontId="8" fillId="0" borderId="0" xfId="1" applyNumberFormat="1" applyFont="1"/>
    <xf numFmtId="0" fontId="8" fillId="0" borderId="5" xfId="1" applyFont="1" applyBorder="1"/>
    <xf numFmtId="0" fontId="8" fillId="0" borderId="6" xfId="1" applyFont="1" applyBorder="1"/>
    <xf numFmtId="0" fontId="8" fillId="0" borderId="6" xfId="1" applyFont="1" applyBorder="1" applyAlignment="1">
      <alignment horizontal="right"/>
    </xf>
    <xf numFmtId="0" fontId="8" fillId="0" borderId="7" xfId="1" applyFont="1" applyBorder="1"/>
    <xf numFmtId="0" fontId="8" fillId="2" borderId="4" xfId="1" applyFont="1" applyFill="1" applyBorder="1"/>
    <xf numFmtId="0" fontId="8" fillId="0" borderId="3" xfId="1" applyFont="1" applyBorder="1"/>
    <xf numFmtId="0" fontId="8" fillId="0" borderId="8" xfId="1" applyFont="1" applyBorder="1"/>
    <xf numFmtId="14" fontId="8" fillId="0" borderId="9" xfId="1" applyNumberFormat="1" applyFont="1" applyBorder="1"/>
    <xf numFmtId="14" fontId="8" fillId="0" borderId="9" xfId="1" applyNumberFormat="1" applyFont="1" applyBorder="1" applyAlignment="1">
      <alignment horizontal="right"/>
    </xf>
    <xf numFmtId="0" fontId="8" fillId="0" borderId="10" xfId="1" applyFont="1" applyBorder="1" applyAlignment="1">
      <alignment horizontal="right"/>
    </xf>
    <xf numFmtId="0" fontId="8" fillId="0" borderId="11" xfId="1" applyFont="1" applyBorder="1"/>
    <xf numFmtId="14" fontId="8" fillId="0" borderId="12" xfId="1" applyNumberFormat="1" applyFont="1" applyBorder="1"/>
    <xf numFmtId="14" fontId="8" fillId="0" borderId="12" xfId="1" applyNumberFormat="1" applyFont="1" applyBorder="1" applyAlignment="1">
      <alignment horizontal="right"/>
    </xf>
    <xf numFmtId="0" fontId="8" fillId="0" borderId="13" xfId="1" applyFont="1" applyBorder="1" applyAlignment="1">
      <alignment horizontal="right"/>
    </xf>
    <xf numFmtId="0" fontId="9" fillId="0" borderId="8" xfId="1" applyFont="1" applyBorder="1"/>
    <xf numFmtId="0" fontId="8" fillId="0" borderId="14" xfId="1" applyFont="1" applyBorder="1"/>
    <xf numFmtId="0" fontId="8" fillId="0" borderId="10" xfId="1" applyFont="1" applyBorder="1"/>
    <xf numFmtId="0" fontId="8" fillId="0" borderId="0" xfId="1" applyFont="1" applyBorder="1"/>
    <xf numFmtId="0" fontId="8" fillId="0" borderId="15" xfId="1" applyFont="1" applyBorder="1"/>
    <xf numFmtId="0" fontId="8" fillId="0" borderId="13" xfId="1" applyFont="1" applyBorder="1"/>
    <xf numFmtId="0" fontId="8" fillId="0" borderId="0" xfId="1" applyFont="1" applyBorder="1" applyAlignment="1">
      <alignment horizontal="right"/>
    </xf>
    <xf numFmtId="0" fontId="9" fillId="0" borderId="4" xfId="1" applyFont="1" applyBorder="1" applyAlignment="1">
      <alignment horizontal="right"/>
    </xf>
    <xf numFmtId="14" fontId="9" fillId="0" borderId="4" xfId="1" applyNumberFormat="1" applyFont="1" applyBorder="1"/>
    <xf numFmtId="0" fontId="8" fillId="2" borderId="4" xfId="1" applyFont="1" applyFill="1" applyBorder="1" applyAlignment="1">
      <alignment horizontal="right"/>
    </xf>
    <xf numFmtId="0" fontId="8" fillId="0" borderId="4" xfId="1" applyFont="1" applyBorder="1"/>
    <xf numFmtId="14" fontId="8" fillId="0" borderId="6" xfId="1" applyNumberFormat="1" applyFont="1" applyBorder="1" applyAlignment="1">
      <alignment horizontal="right"/>
    </xf>
    <xf numFmtId="14" fontId="8" fillId="0" borderId="6" xfId="1" applyNumberFormat="1" applyFont="1" applyBorder="1"/>
    <xf numFmtId="0" fontId="8" fillId="0" borderId="7" xfId="1" applyFont="1" applyBorder="1" applyAlignment="1">
      <alignment horizontal="right"/>
    </xf>
    <xf numFmtId="0" fontId="9" fillId="0" borderId="4" xfId="1" applyFont="1" applyBorder="1" applyAlignment="1">
      <alignment horizontal="center"/>
    </xf>
    <xf numFmtId="0" fontId="9" fillId="0" borderId="3" xfId="1" applyFont="1" applyBorder="1" applyAlignment="1">
      <alignment horizontal="center"/>
    </xf>
    <xf numFmtId="0" fontId="8" fillId="0" borderId="12" xfId="1" applyFont="1" applyBorder="1"/>
    <xf numFmtId="0" fontId="11" fillId="3" borderId="4" xfId="1" applyFont="1" applyFill="1" applyBorder="1" applyAlignment="1">
      <alignment horizontal="right"/>
    </xf>
    <xf numFmtId="14" fontId="9" fillId="4" borderId="4" xfId="1" applyNumberFormat="1" applyFont="1" applyFill="1" applyBorder="1"/>
    <xf numFmtId="0" fontId="12" fillId="0" borderId="1" xfId="1" applyFont="1" applyBorder="1" applyAlignment="1">
      <alignment horizontal="centerContinuous"/>
    </xf>
    <xf numFmtId="0" fontId="8" fillId="0" borderId="4" xfId="1" applyFont="1" applyFill="1" applyBorder="1" applyAlignment="1">
      <alignment horizontal="right"/>
    </xf>
    <xf numFmtId="0" fontId="10" fillId="0" borderId="0" xfId="1" applyFont="1" applyAlignment="1">
      <alignment horizontal="right" readingOrder="2"/>
    </xf>
    <xf numFmtId="164" fontId="9" fillId="4" borderId="3" xfId="1" applyNumberFormat="1" applyFont="1" applyFill="1" applyBorder="1" applyAlignment="1">
      <alignment horizontal="right"/>
    </xf>
    <xf numFmtId="0" fontId="5" fillId="0" borderId="0" xfId="2"/>
    <xf numFmtId="20" fontId="5" fillId="0" borderId="0" xfId="2" applyNumberFormat="1"/>
    <xf numFmtId="0" fontId="5" fillId="0" borderId="0" xfId="2" applyFont="1"/>
    <xf numFmtId="20" fontId="5" fillId="0" borderId="0" xfId="2" applyNumberFormat="1" applyFont="1"/>
    <xf numFmtId="21" fontId="5" fillId="0" borderId="0" xfId="2" applyNumberFormat="1" applyFont="1"/>
    <xf numFmtId="14" fontId="5" fillId="0" borderId="0" xfId="2" applyNumberFormat="1"/>
    <xf numFmtId="0" fontId="5" fillId="0" borderId="0" xfId="2" applyAlignment="1">
      <alignment wrapText="1"/>
    </xf>
    <xf numFmtId="0" fontId="14" fillId="0" borderId="4" xfId="0" applyFont="1" applyBorder="1" applyAlignment="1">
      <alignment horizontal="center" vertical="center" wrapText="1"/>
    </xf>
    <xf numFmtId="0" fontId="4" fillId="0" borderId="0" xfId="2" applyFont="1"/>
    <xf numFmtId="166" fontId="8" fillId="0" borderId="0" xfId="1" applyNumberFormat="1" applyFont="1"/>
    <xf numFmtId="20" fontId="8" fillId="0" borderId="0" xfId="1" applyNumberFormat="1" applyFont="1"/>
    <xf numFmtId="0" fontId="16" fillId="0" borderId="0" xfId="1" applyFont="1"/>
    <xf numFmtId="0" fontId="11" fillId="0" borderId="0" xfId="1" applyFont="1" applyFill="1"/>
    <xf numFmtId="14" fontId="6" fillId="2" borderId="4" xfId="1" applyNumberFormat="1" applyFont="1" applyFill="1" applyBorder="1"/>
    <xf numFmtId="0" fontId="0" fillId="0" borderId="0" xfId="0" applyAlignment="1"/>
    <xf numFmtId="0" fontId="17" fillId="0" borderId="0" xfId="0" applyFont="1" applyAlignment="1"/>
    <xf numFmtId="0" fontId="6" fillId="0" borderId="0" xfId="1" applyFont="1" applyAlignment="1"/>
    <xf numFmtId="0" fontId="8" fillId="0" borderId="0" xfId="1" applyFont="1" applyAlignment="1"/>
    <xf numFmtId="0" fontId="3" fillId="0" borderId="0" xfId="2" applyFont="1"/>
    <xf numFmtId="0" fontId="2" fillId="0" borderId="0" xfId="2" applyFont="1"/>
    <xf numFmtId="0" fontId="20" fillId="0" borderId="0" xfId="2" applyFont="1"/>
    <xf numFmtId="20" fontId="21" fillId="5" borderId="0" xfId="2" applyNumberFormat="1" applyFont="1" applyFill="1" applyBorder="1" applyAlignment="1">
      <alignment horizontal="center" vertical="center"/>
    </xf>
    <xf numFmtId="20" fontId="21" fillId="5" borderId="0" xfId="2" applyNumberFormat="1" applyFont="1" applyFill="1" applyAlignment="1">
      <alignment horizontal="center"/>
    </xf>
    <xf numFmtId="20" fontId="21" fillId="0" borderId="0" xfId="2" applyNumberFormat="1" applyFont="1" applyBorder="1" applyAlignment="1">
      <alignment horizontal="center" vertical="center"/>
    </xf>
    <xf numFmtId="20" fontId="22" fillId="0" borderId="0" xfId="2" applyNumberFormat="1" applyFont="1" applyAlignment="1">
      <alignment horizontal="center" vertical="center"/>
    </xf>
    <xf numFmtId="0" fontId="23" fillId="0" borderId="16" xfId="2" applyFont="1" applyBorder="1" applyAlignment="1">
      <alignment horizontal="center" vertical="center"/>
    </xf>
    <xf numFmtId="20" fontId="21" fillId="0" borderId="0" xfId="2" applyNumberFormat="1" applyFont="1" applyFill="1" applyAlignment="1">
      <alignment horizontal="center"/>
    </xf>
    <xf numFmtId="0" fontId="23" fillId="5" borderId="16" xfId="2" applyFont="1" applyFill="1" applyBorder="1" applyAlignment="1">
      <alignment horizontal="center" vertical="center" wrapText="1"/>
    </xf>
    <xf numFmtId="20" fontId="21" fillId="0" borderId="0" xfId="2" applyNumberFormat="1" applyFont="1" applyAlignment="1">
      <alignment horizontal="center"/>
    </xf>
    <xf numFmtId="0" fontId="23" fillId="5" borderId="16" xfId="2" applyFont="1" applyFill="1" applyBorder="1" applyAlignment="1">
      <alignment horizontal="center" vertical="center"/>
    </xf>
    <xf numFmtId="0" fontId="20" fillId="0" borderId="0" xfId="2" applyFont="1" applyAlignment="1">
      <alignment horizontal="center"/>
    </xf>
    <xf numFmtId="0" fontId="20" fillId="0" borderId="0" xfId="2" applyFont="1" applyBorder="1"/>
    <xf numFmtId="0" fontId="21" fillId="0" borderId="0" xfId="2" applyFont="1" applyFill="1" applyBorder="1" applyAlignment="1">
      <alignment horizontal="center"/>
    </xf>
    <xf numFmtId="0" fontId="21" fillId="0" borderId="0" xfId="2" applyFont="1" applyBorder="1" applyAlignment="1">
      <alignment horizontal="center"/>
    </xf>
    <xf numFmtId="0" fontId="25" fillId="8" borderId="0" xfId="2" applyFont="1" applyFill="1" applyBorder="1" applyAlignment="1">
      <alignment horizontal="center" vertical="center" wrapText="1"/>
    </xf>
    <xf numFmtId="20" fontId="25" fillId="8" borderId="0" xfId="2" applyNumberFormat="1" applyFont="1" applyFill="1" applyBorder="1" applyAlignment="1">
      <alignment horizontal="center" vertical="center" wrapText="1"/>
    </xf>
    <xf numFmtId="20" fontId="25" fillId="0" borderId="0" xfId="2" applyNumberFormat="1" applyFont="1" applyFill="1" applyBorder="1" applyAlignment="1">
      <alignment horizontal="center" vertical="center" wrapText="1"/>
    </xf>
    <xf numFmtId="0" fontId="26" fillId="0" borderId="0" xfId="2" applyFont="1" applyFill="1" applyBorder="1" applyAlignment="1">
      <alignment horizontal="center" vertical="center" wrapText="1"/>
    </xf>
    <xf numFmtId="0" fontId="26" fillId="8" borderId="0" xfId="2" applyFont="1" applyFill="1" applyBorder="1" applyAlignment="1">
      <alignment horizontal="center" vertical="center" wrapText="1"/>
    </xf>
    <xf numFmtId="0" fontId="20" fillId="0" borderId="0" xfId="2" applyFont="1" applyBorder="1" applyAlignment="1">
      <alignment horizontal="center"/>
    </xf>
    <xf numFmtId="20" fontId="25" fillId="8" borderId="0" xfId="2" applyNumberFormat="1" applyFont="1" applyFill="1" applyBorder="1" applyAlignment="1">
      <alignment horizontal="center" vertical="center"/>
    </xf>
    <xf numFmtId="0" fontId="27" fillId="0" borderId="0" xfId="0" applyFont="1"/>
    <xf numFmtId="0" fontId="27" fillId="0" borderId="0" xfId="0" applyFont="1" applyBorder="1"/>
    <xf numFmtId="0" fontId="28" fillId="0" borderId="0" xfId="2" applyFont="1"/>
    <xf numFmtId="0" fontId="29" fillId="0" borderId="0" xfId="2" applyFont="1"/>
    <xf numFmtId="0" fontId="30" fillId="0" borderId="0" xfId="2" applyFont="1" applyFill="1" applyAlignment="1">
      <alignment horizontal="center" vertical="center" wrapText="1"/>
    </xf>
    <xf numFmtId="0" fontId="29" fillId="0" borderId="0" xfId="2" applyFont="1" applyAlignment="1">
      <alignment horizontal="right" vertical="center"/>
    </xf>
    <xf numFmtId="20" fontId="29" fillId="0" borderId="0" xfId="2" applyNumberFormat="1" applyFont="1"/>
    <xf numFmtId="20" fontId="35" fillId="0" borderId="0" xfId="2" applyNumberFormat="1" applyFont="1" applyFill="1" applyAlignment="1">
      <alignment horizontal="center" wrapText="1"/>
    </xf>
    <xf numFmtId="14" fontId="29" fillId="0" borderId="0" xfId="2" applyNumberFormat="1" applyFont="1"/>
    <xf numFmtId="0" fontId="31" fillId="0" borderId="0" xfId="2" applyFont="1" applyAlignment="1">
      <alignment horizontal="left" vertical="center" wrapText="1"/>
    </xf>
    <xf numFmtId="0" fontId="0" fillId="0" borderId="0" xfId="0"/>
    <xf numFmtId="167" fontId="0" fillId="0" borderId="0" xfId="0" applyNumberFormat="1"/>
    <xf numFmtId="0" fontId="17" fillId="0" borderId="0" xfId="0" applyFont="1"/>
    <xf numFmtId="168" fontId="0" fillId="0" borderId="0" xfId="0" applyNumberFormat="1"/>
    <xf numFmtId="167" fontId="17" fillId="0" borderId="0" xfId="0" applyNumberFormat="1" applyFont="1"/>
    <xf numFmtId="2" fontId="17" fillId="0" borderId="0" xfId="0" applyNumberFormat="1" applyFont="1"/>
    <xf numFmtId="169" fontId="0" fillId="0" borderId="0" xfId="0" applyNumberFormat="1"/>
    <xf numFmtId="169" fontId="26" fillId="8" borderId="0" xfId="2" applyNumberFormat="1" applyFont="1" applyFill="1" applyBorder="1" applyAlignment="1">
      <alignment horizontal="center" vertical="center" wrapText="1"/>
    </xf>
    <xf numFmtId="0" fontId="32" fillId="0" borderId="0" xfId="2" applyFont="1" applyAlignment="1">
      <alignment horizontal="left" vertical="center" wrapText="1"/>
    </xf>
    <xf numFmtId="0" fontId="33" fillId="0" borderId="0" xfId="2" applyFont="1" applyAlignment="1">
      <alignment horizontal="left" vertical="center" wrapText="1"/>
    </xf>
    <xf numFmtId="0" fontId="34" fillId="0" borderId="0" xfId="2" applyFont="1" applyAlignment="1">
      <alignment horizontal="left" vertical="center" wrapText="1"/>
    </xf>
    <xf numFmtId="165" fontId="32" fillId="0" borderId="0" xfId="2" applyNumberFormat="1" applyFont="1" applyAlignment="1">
      <alignment horizontal="left" vertical="center"/>
    </xf>
    <xf numFmtId="165" fontId="33" fillId="0" borderId="0" xfId="2" applyNumberFormat="1" applyFont="1" applyAlignment="1">
      <alignment horizontal="left" vertical="center"/>
    </xf>
    <xf numFmtId="165" fontId="34" fillId="0" borderId="0" xfId="2" applyNumberFormat="1" applyFont="1" applyAlignment="1">
      <alignment horizontal="left" vertical="center"/>
    </xf>
    <xf numFmtId="0" fontId="36" fillId="9" borderId="0" xfId="3"/>
    <xf numFmtId="0" fontId="37" fillId="10" borderId="0" xfId="4"/>
    <xf numFmtId="0" fontId="36" fillId="9" borderId="0" xfId="3" applyAlignment="1">
      <alignment wrapText="1"/>
    </xf>
    <xf numFmtId="0" fontId="39" fillId="0" borderId="0" xfId="0" applyFont="1" applyAlignment="1">
      <alignment vertical="center"/>
    </xf>
    <xf numFmtId="0" fontId="40" fillId="0" borderId="0" xfId="2" applyFont="1" applyAlignment="1">
      <alignment horizontal="right" vertical="center" wrapText="1"/>
    </xf>
    <xf numFmtId="165" fontId="40" fillId="0" borderId="0" xfId="2" applyNumberFormat="1" applyFont="1" applyAlignment="1">
      <alignment horizontal="right" vertical="center"/>
    </xf>
    <xf numFmtId="0" fontId="17" fillId="0" borderId="0" xfId="0" applyNumberFormat="1" applyFont="1" applyAlignment="1">
      <alignment wrapText="1"/>
    </xf>
    <xf numFmtId="0" fontId="41" fillId="0" borderId="0" xfId="6" applyAlignment="1">
      <alignment vertical="center"/>
    </xf>
    <xf numFmtId="0" fontId="17" fillId="0" borderId="0" xfId="0" applyNumberFormat="1" applyFont="1" applyAlignment="1">
      <alignment horizontal="right" wrapText="1"/>
    </xf>
    <xf numFmtId="0" fontId="38" fillId="11" borderId="17" xfId="5" applyNumberFormat="1"/>
    <xf numFmtId="0" fontId="42" fillId="0" borderId="17" xfId="5" applyNumberFormat="1" applyFont="1" applyFill="1"/>
    <xf numFmtId="0" fontId="0" fillId="0" borderId="0" xfId="0" applyNumberFormat="1"/>
    <xf numFmtId="167" fontId="0" fillId="12" borderId="0" xfId="0" applyNumberFormat="1" applyFill="1"/>
    <xf numFmtId="0" fontId="25" fillId="0" borderId="0" xfId="2" applyFont="1" applyFill="1" applyBorder="1" applyAlignment="1">
      <alignment horizontal="center" vertical="center" wrapText="1"/>
    </xf>
    <xf numFmtId="0" fontId="17" fillId="0" borderId="0" xfId="0" applyNumberFormat="1" applyFont="1"/>
    <xf numFmtId="0" fontId="43" fillId="0" borderId="0" xfId="0" applyFont="1"/>
    <xf numFmtId="49" fontId="0" fillId="12" borderId="0" xfId="0" applyNumberFormat="1" applyFill="1"/>
    <xf numFmtId="49" fontId="0" fillId="0" borderId="0" xfId="0" applyNumberFormat="1"/>
    <xf numFmtId="0" fontId="44" fillId="0" borderId="0" xfId="2" applyFont="1"/>
    <xf numFmtId="168" fontId="20" fillId="0" borderId="0" xfId="2" applyNumberFormat="1" applyFont="1"/>
    <xf numFmtId="168" fontId="45" fillId="0" borderId="0" xfId="2" applyNumberFormat="1" applyFont="1"/>
    <xf numFmtId="0" fontId="46" fillId="0" borderId="4" xfId="0" applyFont="1" applyBorder="1" applyAlignment="1">
      <alignment horizontal="center" vertical="center" wrapText="1"/>
    </xf>
    <xf numFmtId="0" fontId="47" fillId="0" borderId="0" xfId="2" applyFont="1" applyAlignment="1">
      <alignment horizontal="right" vertical="center" wrapText="1"/>
    </xf>
    <xf numFmtId="165" fontId="47" fillId="0" borderId="0" xfId="2" applyNumberFormat="1" applyFont="1" applyAlignment="1">
      <alignment horizontal="right" vertical="center"/>
    </xf>
    <xf numFmtId="20" fontId="20" fillId="0" borderId="0" xfId="2" applyNumberFormat="1" applyFont="1"/>
    <xf numFmtId="0" fontId="1" fillId="0" borderId="0" xfId="2" applyFont="1"/>
    <xf numFmtId="0" fontId="48" fillId="0" borderId="0" xfId="0" applyFont="1" applyAlignment="1">
      <alignment vertical="center"/>
    </xf>
    <xf numFmtId="169" fontId="23" fillId="0" borderId="16" xfId="2" applyNumberFormat="1" applyFont="1" applyBorder="1" applyAlignment="1">
      <alignment horizontal="center" vertical="center"/>
    </xf>
    <xf numFmtId="0" fontId="49" fillId="0" borderId="0" xfId="2" applyFont="1" applyAlignment="1">
      <alignment horizontal="right"/>
    </xf>
    <xf numFmtId="165" fontId="49" fillId="0" borderId="0" xfId="2" applyNumberFormat="1" applyFont="1" applyAlignment="1">
      <alignment horizontal="right"/>
    </xf>
    <xf numFmtId="170" fontId="28" fillId="0" borderId="0" xfId="2" applyNumberFormat="1" applyFont="1"/>
    <xf numFmtId="0" fontId="13" fillId="0" borderId="0" xfId="1" applyFont="1" applyFill="1" applyAlignment="1">
      <alignment horizontal="center" vertical="center" readingOrder="2"/>
    </xf>
    <xf numFmtId="0" fontId="25" fillId="0" borderId="0" xfId="2" applyFont="1" applyFill="1" applyBorder="1" applyAlignment="1">
      <alignment horizontal="center" vertical="center" wrapText="1"/>
    </xf>
    <xf numFmtId="0" fontId="19" fillId="6" borderId="0" xfId="2" applyFont="1" applyFill="1" applyBorder="1" applyAlignment="1">
      <alignment horizontal="center" vertical="center"/>
    </xf>
    <xf numFmtId="0" fontId="18" fillId="6" borderId="19" xfId="2" applyFont="1" applyFill="1" applyBorder="1" applyAlignment="1">
      <alignment horizontal="center" vertical="center" wrapText="1"/>
    </xf>
    <xf numFmtId="20" fontId="21" fillId="0" borderId="0" xfId="2" applyNumberFormat="1" applyFont="1" applyAlignment="1">
      <alignment horizontal="center" wrapText="1"/>
    </xf>
    <xf numFmtId="0" fontId="24" fillId="7" borderId="18" xfId="2" applyFont="1" applyFill="1" applyBorder="1" applyAlignment="1">
      <alignment horizontal="center" vertical="center" wrapText="1"/>
    </xf>
    <xf numFmtId="0" fontId="19" fillId="7" borderId="0" xfId="2" applyFont="1" applyFill="1" applyBorder="1" applyAlignment="1">
      <alignment horizontal="center" vertical="center"/>
    </xf>
    <xf numFmtId="0" fontId="23" fillId="0" borderId="16" xfId="2" applyFont="1" applyBorder="1" applyAlignment="1">
      <alignment horizontal="center" vertical="top" wrapText="1"/>
    </xf>
    <xf numFmtId="0" fontId="26" fillId="0" borderId="0" xfId="2" applyFont="1" applyFill="1" applyBorder="1" applyAlignment="1">
      <alignment horizontal="center" vertical="top" wrapText="1"/>
    </xf>
  </cellXfs>
  <cellStyles count="7">
    <cellStyle name="Normal" xfId="0" builtinId="0"/>
    <cellStyle name="Normal 2" xfId="2" xr:uid="{00000000-0005-0000-0000-000001000000}"/>
    <cellStyle name="Normal_HEBREw_Date_Converter1" xfId="1" xr:uid="{00000000-0005-0000-0000-000002000000}"/>
    <cellStyle name="היפר-קישור" xfId="6" builtinId="8"/>
    <cellStyle name="חישוב" xfId="5" builtinId="22"/>
    <cellStyle name="טוב" xfId="3" builtinId="26"/>
    <cellStyle name="ניטראלי" xfId="4" builtinId="28"/>
  </cellStyles>
  <dxfs count="0"/>
  <tableStyles count="0" defaultTableStyle="TableStyleMedium2" defaultPivotStyle="PivotStyleLight16"/>
  <colors>
    <mruColors>
      <color rgb="FF327CD6"/>
      <color rgb="FFDCB11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todaytimes" refreshOnLoad="1" connectionId="1" xr16:uid="{00000000-0016-0000-0100-000000000000}" autoFormatId="16" applyNumberFormats="0" applyBorderFormats="0" applyFontFormats="1" applyPatternFormats="1" applyAlignmentFormats="0" applyWidthHeightFormats="0"/>
</file>

<file path=xl/theme/theme1.xml><?xml version="1.0" encoding="utf-8"?>
<a:theme xmlns:a="http://schemas.openxmlformats.org/drawingml/2006/main" name="ערכת נושא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גיליון4"/>
  <dimension ref="A1:P51"/>
  <sheetViews>
    <sheetView showGridLines="0" rightToLeft="1" topLeftCell="D1" zoomScale="115" zoomScaleNormal="115" workbookViewId="0">
      <selection activeCell="K10" sqref="K10"/>
    </sheetView>
  </sheetViews>
  <sheetFormatPr defaultColWidth="8.125" defaultRowHeight="12.75"/>
  <cols>
    <col min="1" max="1" width="11.75" style="4" bestFit="1" customWidth="1"/>
    <col min="2" max="2" width="11" style="4" customWidth="1"/>
    <col min="3" max="3" width="10.5" style="4" bestFit="1" customWidth="1"/>
    <col min="4" max="4" width="8.5" style="4" customWidth="1"/>
    <col min="5" max="5" width="2.5" style="4" customWidth="1"/>
    <col min="6" max="6" width="5.5" style="4" customWidth="1"/>
    <col min="7" max="8" width="8.125" style="4" customWidth="1"/>
    <col min="9" max="9" width="9.625" style="4" customWidth="1"/>
    <col min="10" max="10" width="14.75" style="4" customWidth="1"/>
    <col min="11" max="11" width="8.125" style="4"/>
    <col min="12" max="12" width="34.125" style="4" customWidth="1"/>
    <col min="13" max="16384" width="8.125" style="4"/>
  </cols>
  <sheetData>
    <row r="1" spans="1:16" ht="36">
      <c r="A1" s="1" t="s">
        <v>0</v>
      </c>
      <c r="B1" s="2"/>
      <c r="C1" s="2"/>
      <c r="D1" s="3"/>
      <c r="J1" s="60">
        <v>0.79166666666666696</v>
      </c>
      <c r="K1" s="59">
        <f ca="1">NOW()-TODAY()</f>
        <v>0.34855243055790197</v>
      </c>
      <c r="L1" s="57" t="str">
        <f ca="1">IFERROR(VLOOKUP(TRUE,N:P,3,FALSE),"")</f>
        <v>אחד וארבעים יום שהם חמישה שבועות ושישה ימים</v>
      </c>
      <c r="M1" s="64" t="s">
        <v>171</v>
      </c>
      <c r="N1" s="64" t="b">
        <f ca="1">OR(AND(ISNUMBER(SEARCH(M2,C3)),K1&gt;J1),(AND(ISNUMBER(SEARCH(M1,C3)),K1&lt;J1)))</f>
        <v>0</v>
      </c>
      <c r="O1" s="64"/>
      <c r="P1" s="64" t="s">
        <v>172</v>
      </c>
    </row>
    <row r="2" spans="1:16" ht="14.25">
      <c r="A2" s="5"/>
      <c r="B2" s="6" t="s">
        <v>1</v>
      </c>
      <c r="C2" s="7" t="s">
        <v>2</v>
      </c>
      <c r="D2" s="8" t="s">
        <v>3</v>
      </c>
      <c r="L2" t="str">
        <f ca="1">CHOOSE(WEEKDAY(B3),"יום ראשון","יום שני","יום שלישי","יום רביעי","יום חמישי","יום שישי","יום שבת")</f>
        <v>יום שישי</v>
      </c>
      <c r="M2" s="64" t="s">
        <v>169</v>
      </c>
      <c r="N2" s="64" t="b">
        <f ca="1">OR(AND(ISNUMBER(SEARCH(M3,C3)),K1&gt;J1),(AND(ISNUMBER(SEARCH(M2,C3)),K1&lt;J1)))</f>
        <v>0</v>
      </c>
      <c r="O2" s="64"/>
      <c r="P2" s="64" t="s">
        <v>170</v>
      </c>
    </row>
    <row r="3" spans="1:16" ht="25.5">
      <c r="A3" s="9" t="s">
        <v>4</v>
      </c>
      <c r="B3" s="63">
        <f ca="1">TODAY()</f>
        <v>43231</v>
      </c>
      <c r="C3" s="10" t="str">
        <f ca="1">JewDate(B3)</f>
        <v>כו אייר תשעח</v>
      </c>
      <c r="D3" s="11" t="str">
        <f ca="1">JewDate(B3,"ww")</f>
        <v>ששי</v>
      </c>
      <c r="E3" s="12"/>
      <c r="F3" s="12"/>
      <c r="L3" s="136" t="str">
        <f ca="1">"היום"&amp;" "&amp;L1&amp;" "&amp;"לעומר"</f>
        <v>היום אחד וארבעים יום שהם חמישה שבועות ושישה ימים לעומר</v>
      </c>
      <c r="M3" s="64" t="s">
        <v>167</v>
      </c>
      <c r="N3" s="64" t="b">
        <f ca="1">OR(AND(ISNUMBER(SEARCH(M4,C3)),K1&gt;J1),(AND(ISNUMBER(SEARCH(M3,C3)),K1&lt;J1)))</f>
        <v>0</v>
      </c>
      <c r="O3" s="64"/>
      <c r="P3" s="64" t="s">
        <v>168</v>
      </c>
    </row>
    <row r="4" spans="1:16" ht="14.25">
      <c r="A4" s="13"/>
      <c r="B4" s="14"/>
      <c r="C4" s="15"/>
      <c r="D4" s="16"/>
      <c r="M4" s="64" t="s">
        <v>165</v>
      </c>
      <c r="N4" s="64" t="b">
        <f ca="1">OR(AND(ISNUMBER(SEARCH(M5,C3)),K1&gt;J1),(AND(ISNUMBER(SEARCH(M4,C3)),K1&lt;J1)))</f>
        <v>0</v>
      </c>
      <c r="O4" s="64"/>
      <c r="P4" s="64" t="s">
        <v>166</v>
      </c>
    </row>
    <row r="5" spans="1:16" ht="14.25">
      <c r="A5" s="9" t="s">
        <v>5</v>
      </c>
      <c r="B5" s="17" t="s">
        <v>6</v>
      </c>
      <c r="C5" s="10">
        <f>Gym(B5)+5000</f>
        <v>5765</v>
      </c>
      <c r="D5" s="18"/>
      <c r="L5" s="61" t="s">
        <v>176</v>
      </c>
      <c r="M5" s="64" t="s">
        <v>163</v>
      </c>
      <c r="N5" s="64" t="b">
        <f ca="1">OR(AND(ISNUMBER(SEARCH(M6,C3)),K1&gt;J1),(AND(ISNUMBER(SEARCH(M5,C3)),K1&lt;J1)))</f>
        <v>0</v>
      </c>
      <c r="O5" s="64"/>
      <c r="P5" s="64" t="s">
        <v>164</v>
      </c>
    </row>
    <row r="6" spans="1:16" ht="14.25">
      <c r="A6" s="13"/>
      <c r="B6" s="14"/>
      <c r="C6" s="15"/>
      <c r="D6" s="16"/>
      <c r="M6" s="64" t="s">
        <v>161</v>
      </c>
      <c r="N6" s="64" t="b">
        <f ca="1">OR(AND(ISNUMBER(SEARCH(M7,C3)),K1&gt;J1),(AND(ISNUMBER(SEARCH(M6,C3)),K1&lt;J1)))</f>
        <v>0</v>
      </c>
      <c r="O6" s="64"/>
      <c r="P6" s="64" t="s">
        <v>162</v>
      </c>
    </row>
    <row r="7" spans="1:16" ht="14.25">
      <c r="A7" s="19" t="s">
        <v>7</v>
      </c>
      <c r="B7" s="20">
        <f ca="1">JewBirthday(B3,C5)</f>
        <v>38507</v>
      </c>
      <c r="C7" s="21" t="str">
        <f ca="1">JewDate(B7)</f>
        <v>כו אייר תשסה</v>
      </c>
      <c r="D7" s="22" t="str">
        <f ca="1">JewDate(B7,"ww")</f>
        <v>שבת</v>
      </c>
      <c r="M7" s="64" t="s">
        <v>159</v>
      </c>
      <c r="N7" s="64" t="b">
        <f ca="1">OR(AND(ISNUMBER(SEARCH(M8,C3)),K1&gt;J1),(AND(ISNUMBER(SEARCH(M7,C3)),K1&lt;J1)))</f>
        <v>0</v>
      </c>
      <c r="O7" s="64"/>
      <c r="P7" s="64" t="s">
        <v>160</v>
      </c>
    </row>
    <row r="8" spans="1:16" ht="14.25">
      <c r="A8" s="23" t="s">
        <v>8</v>
      </c>
      <c r="B8" s="24">
        <f ca="1">GregBirthday(B3,C5)</f>
        <v>38483</v>
      </c>
      <c r="C8" s="25" t="str">
        <f ca="1">JewDate(B8)</f>
        <v>ב אייר תשסה</v>
      </c>
      <c r="D8" s="26" t="str">
        <f ca="1">JewDate(B8,"ww")</f>
        <v>רביעי</v>
      </c>
      <c r="M8" s="64" t="s">
        <v>157</v>
      </c>
      <c r="N8" s="64" t="b">
        <f ca="1">OR(AND(ISNUMBER(SEARCH(M9,C3)),K1&gt;J1),(AND(ISNUMBER(SEARCH(M8,C3)),K1&lt;J1)))</f>
        <v>0</v>
      </c>
      <c r="O8" s="64"/>
      <c r="P8" s="64" t="s">
        <v>158</v>
      </c>
    </row>
    <row r="9" spans="1:16" ht="14.25">
      <c r="M9" s="64" t="s">
        <v>155</v>
      </c>
      <c r="N9" s="64" t="b">
        <f ca="1">OR(AND(ISNUMBER(SEARCH(M10,C3)),K1&gt;J1),(AND(ISNUMBER(SEARCH(M9,C3)),K1&lt;J1)))</f>
        <v>0</v>
      </c>
      <c r="O9" s="64"/>
      <c r="P9" s="64" t="s">
        <v>156</v>
      </c>
    </row>
    <row r="10" spans="1:16" ht="14.25">
      <c r="A10" s="1" t="s">
        <v>9</v>
      </c>
      <c r="B10" s="2"/>
      <c r="C10" s="2"/>
      <c r="D10" s="3"/>
      <c r="M10" s="64" t="s">
        <v>153</v>
      </c>
      <c r="N10" s="64" t="b">
        <f ca="1">OR(AND(ISNUMBER(SEARCH(M11,C3)),K1&gt;J1),(AND(ISNUMBER(SEARCH(M10,C3)),K1&lt;J1)))</f>
        <v>1</v>
      </c>
      <c r="O10" s="64"/>
      <c r="P10" s="64" t="s">
        <v>154</v>
      </c>
    </row>
    <row r="11" spans="1:16" ht="14.25">
      <c r="A11" s="27" t="s">
        <v>4</v>
      </c>
      <c r="B11" s="28"/>
      <c r="C11" s="28"/>
      <c r="D11" s="29"/>
      <c r="M11" s="64" t="s">
        <v>151</v>
      </c>
      <c r="N11" s="64" t="b">
        <f ca="1">OR(AND(ISNUMBER(SEARCH(M12,C3)),K1&gt;J1),(AND(ISNUMBER(SEARCH(M11,C3)),K1&lt;J1)))</f>
        <v>0</v>
      </c>
      <c r="O11" s="64"/>
      <c r="P11" s="64" t="s">
        <v>152</v>
      </c>
    </row>
    <row r="12" spans="1:16" ht="14.25">
      <c r="A12" s="13" t="s">
        <v>10</v>
      </c>
      <c r="B12" s="44" t="s">
        <v>11</v>
      </c>
      <c r="C12" s="30">
        <f>Gym(B12)</f>
        <v>6</v>
      </c>
      <c r="D12" s="16"/>
      <c r="M12" s="64" t="s">
        <v>149</v>
      </c>
      <c r="N12" s="64" t="b">
        <f ca="1">OR(AND(ISNUMBER(SEARCH(M13,C3)),K1&gt;J1),(AND(ISNUMBER(SEARCH(M12,C3)),K1&lt;J1)))</f>
        <v>0</v>
      </c>
      <c r="O12" s="64"/>
      <c r="P12" s="64" t="s">
        <v>150</v>
      </c>
    </row>
    <row r="13" spans="1:16" ht="14.25">
      <c r="A13" s="13" t="s">
        <v>12</v>
      </c>
      <c r="B13" s="44" t="s">
        <v>13</v>
      </c>
      <c r="C13" s="30">
        <f>VLOOKUP(B13,$A$26:$B$39,2,0)</f>
        <v>6</v>
      </c>
      <c r="D13" s="16"/>
      <c r="M13" s="64" t="s">
        <v>147</v>
      </c>
      <c r="N13" s="64" t="b">
        <f ca="1">OR(AND(ISNUMBER(SEARCH(M14,C3)),K1&gt;J1),(AND(ISNUMBER(SEARCH(M13,C3)),K1&lt;J1)))</f>
        <v>0</v>
      </c>
      <c r="O13" s="64"/>
      <c r="P13" s="64" t="s">
        <v>148</v>
      </c>
    </row>
    <row r="14" spans="1:16" ht="14.25">
      <c r="A14" s="23" t="s">
        <v>14</v>
      </c>
      <c r="B14" s="44" t="s">
        <v>15</v>
      </c>
      <c r="C14" s="31">
        <f>Gym(B14)+5000</f>
        <v>5768</v>
      </c>
      <c r="D14" s="32"/>
      <c r="F14" s="62"/>
      <c r="M14" s="64" t="s">
        <v>145</v>
      </c>
      <c r="N14" s="64" t="b">
        <f ca="1">OR(AND(ISNUMBER(SEARCH(M15,C3)),K1&gt;J1),(AND(ISNUMBER(SEARCH(M14,C3)),K1&lt;J1)))</f>
        <v>0</v>
      </c>
      <c r="O14" s="64"/>
      <c r="P14" s="64" t="s">
        <v>146</v>
      </c>
    </row>
    <row r="15" spans="1:16" ht="14.25">
      <c r="A15" s="13"/>
      <c r="B15" s="33"/>
      <c r="C15" s="30"/>
      <c r="D15" s="16"/>
      <c r="F15" s="48"/>
      <c r="M15" s="64" t="s">
        <v>143</v>
      </c>
      <c r="N15" s="64" t="b">
        <f ca="1">OR(AND(ISNUMBER(SEARCH(M16,C3)),K1&gt;J1),(AND(ISNUMBER(SEARCH(M15,C3)),K1&lt;J1)))</f>
        <v>0</v>
      </c>
      <c r="O15" s="64"/>
      <c r="P15" s="64" t="s">
        <v>144</v>
      </c>
    </row>
    <row r="16" spans="1:16" ht="14.25">
      <c r="A16" s="5"/>
      <c r="B16" s="34" t="s">
        <v>2</v>
      </c>
      <c r="C16" s="35" t="s">
        <v>1</v>
      </c>
      <c r="D16" s="8" t="s">
        <v>3</v>
      </c>
      <c r="M16" s="64" t="s">
        <v>141</v>
      </c>
      <c r="N16" s="64" t="b">
        <f ca="1">OR(AND(ISNUMBER(SEARCH(M17,C3)),K1&gt;J1),(AND(ISNUMBER(SEARCH(M16,C3)),K1&lt;J1)))</f>
        <v>0</v>
      </c>
      <c r="O16" s="64"/>
      <c r="P16" s="64" t="s">
        <v>142</v>
      </c>
    </row>
    <row r="17" spans="1:16" ht="14.25">
      <c r="A17" s="9" t="s">
        <v>4</v>
      </c>
      <c r="B17" s="47" t="str">
        <f>JewDate(C17)</f>
        <v>ו אדר א תשסח</v>
      </c>
      <c r="C17" s="45">
        <f>GregDate(C14,C13,C12)</f>
        <v>39490</v>
      </c>
      <c r="D17" s="49">
        <f>WEEKDAY(C17)</f>
        <v>3</v>
      </c>
      <c r="F17" s="48"/>
      <c r="M17" s="64" t="s">
        <v>139</v>
      </c>
      <c r="N17" s="64" t="b">
        <f ca="1">OR(AND(ISNUMBER(SEARCH(M18,C3)),K1&gt;J1),(AND(ISNUMBER(SEARCH(M17,C3)),K1&lt;J1)))</f>
        <v>0</v>
      </c>
      <c r="O17" s="64"/>
      <c r="P17" s="64" t="s">
        <v>140</v>
      </c>
    </row>
    <row r="18" spans="1:16" ht="14.25">
      <c r="A18" s="13"/>
      <c r="B18" s="15"/>
      <c r="C18" s="14"/>
      <c r="D18" s="16"/>
      <c r="M18" s="64" t="s">
        <v>137</v>
      </c>
      <c r="N18" s="64" t="b">
        <f ca="1">OR(AND(ISNUMBER(SEARCH(M19,C3)),K1&gt;J1),(AND(ISNUMBER(SEARCH(M18,C3)),K1&lt;J1)))</f>
        <v>0</v>
      </c>
      <c r="O18" s="64"/>
      <c r="P18" s="64" t="s">
        <v>138</v>
      </c>
    </row>
    <row r="19" spans="1:16" ht="14.25">
      <c r="A19" s="9" t="s">
        <v>5</v>
      </c>
      <c r="B19" s="36" t="s">
        <v>6</v>
      </c>
      <c r="C19" s="37">
        <f>Gym(B19)+5000</f>
        <v>5765</v>
      </c>
      <c r="D19" s="18"/>
      <c r="M19" s="64" t="s">
        <v>135</v>
      </c>
      <c r="N19" s="64" t="b">
        <f ca="1">OR(AND(ISNUMBER(SEARCH(M20,C3)),K1&gt;J1),(AND(ISNUMBER(SEARCH(M19,C3)),K1&lt;J1)))</f>
        <v>0</v>
      </c>
      <c r="O19" s="64"/>
      <c r="P19" s="64" t="s">
        <v>136</v>
      </c>
    </row>
    <row r="20" spans="1:16" ht="14.25">
      <c r="A20" s="13"/>
      <c r="B20" s="15"/>
      <c r="C20" s="14"/>
      <c r="D20" s="16"/>
      <c r="M20" s="64" t="s">
        <v>133</v>
      </c>
      <c r="N20" s="64" t="b">
        <f ca="1">OR(AND(ISNUMBER(SEARCH(M21,C3)),K1&gt;J1),(AND(ISNUMBER(SEARCH(M20,C3)),K1&lt;J1)))</f>
        <v>0</v>
      </c>
      <c r="O20" s="64"/>
      <c r="P20" s="64" t="s">
        <v>134</v>
      </c>
    </row>
    <row r="21" spans="1:16" ht="15">
      <c r="A21" s="13" t="s">
        <v>7</v>
      </c>
      <c r="B21" s="38" t="str">
        <f>JewDate(C21)</f>
        <v>ו אדר א תשסה</v>
      </c>
      <c r="C21" s="39">
        <f>JewBirthday(C17,C19)</f>
        <v>38398</v>
      </c>
      <c r="D21" s="40" t="str">
        <f>JewDate(C21,"ww")</f>
        <v>שלישי</v>
      </c>
      <c r="G21" s="146"/>
      <c r="H21" s="146"/>
      <c r="I21" s="146"/>
      <c r="J21" s="146"/>
      <c r="M21" s="64" t="s">
        <v>131</v>
      </c>
      <c r="N21" s="64" t="b">
        <f ca="1">OR(AND(ISNUMBER(SEARCH(M22,C3)),K1&gt;J1),(AND(ISNUMBER(SEARCH(M21,C3)),K1&lt;J1)))</f>
        <v>0</v>
      </c>
      <c r="O21" s="64"/>
      <c r="P21" s="64" t="s">
        <v>132</v>
      </c>
    </row>
    <row r="22" spans="1:16" ht="14.25">
      <c r="A22" s="23" t="s">
        <v>8</v>
      </c>
      <c r="B22" s="25" t="str">
        <f>JewDate(C22)</f>
        <v>ג אדר א תשסה</v>
      </c>
      <c r="C22" s="24">
        <f>GregBirthday(C17,C19)</f>
        <v>38395</v>
      </c>
      <c r="D22" s="26" t="str">
        <f>JewDate(C22,"ww")</f>
        <v>שבת</v>
      </c>
      <c r="M22" s="64" t="s">
        <v>129</v>
      </c>
      <c r="N22" s="64" t="b">
        <f ca="1">OR(AND(ISNUMBER(SEARCH(M23,C3)),K1&gt;J1),(AND(ISNUMBER(SEARCH(M22,C3)),K1&lt;J1)))</f>
        <v>0</v>
      </c>
      <c r="O22" s="64"/>
      <c r="P22" s="64" t="s">
        <v>130</v>
      </c>
    </row>
    <row r="23" spans="1:16" ht="14.25">
      <c r="M23" s="64" t="s">
        <v>127</v>
      </c>
      <c r="N23" s="64" t="b">
        <f ca="1">OR(AND(ISNUMBER(SEARCH(M24,C3)),K1&gt;J1),(AND(ISNUMBER(SEARCH(M23,C3)),K1&lt;J1)))</f>
        <v>0</v>
      </c>
      <c r="O23" s="64"/>
      <c r="P23" s="64" t="s">
        <v>128</v>
      </c>
    </row>
    <row r="24" spans="1:16" ht="14.25">
      <c r="A24" s="46" t="s">
        <v>16</v>
      </c>
      <c r="B24" s="3"/>
      <c r="M24" s="64" t="s">
        <v>125</v>
      </c>
      <c r="N24" s="64" t="b">
        <f ca="1">OR(AND(ISNUMBER(SEARCH(M25,C3)),K1&gt;J1),(AND(ISNUMBER(SEARCH(M24,C3)),K1&lt;J1)))</f>
        <v>0</v>
      </c>
      <c r="O24" s="64"/>
      <c r="P24" s="64" t="s">
        <v>126</v>
      </c>
    </row>
    <row r="25" spans="1:16" ht="14.25">
      <c r="A25" s="41" t="s">
        <v>12</v>
      </c>
      <c r="B25" s="42" t="s">
        <v>17</v>
      </c>
      <c r="M25" s="64" t="s">
        <v>123</v>
      </c>
      <c r="N25" s="64" t="b">
        <f ca="1">OR(AND(ISNUMBER(SEARCH(M26,C3)),K1&gt;J1),(AND(ISNUMBER(SEARCH(M25,C3)),K1&lt;J1)))</f>
        <v>0</v>
      </c>
      <c r="O25" s="64"/>
      <c r="P25" s="64" t="s">
        <v>124</v>
      </c>
    </row>
    <row r="26" spans="1:16" ht="14.25">
      <c r="A26" s="39" t="s">
        <v>18</v>
      </c>
      <c r="B26" s="16">
        <v>1</v>
      </c>
      <c r="M26" s="64" t="s">
        <v>121</v>
      </c>
      <c r="N26" s="64" t="b">
        <f ca="1">OR(AND(ISNUMBER(SEARCH(M27,C3)),K1&gt;J1),(AND(ISNUMBER(SEARCH(M26,C3)),K1&lt;J1)))</f>
        <v>0</v>
      </c>
      <c r="O26" s="64"/>
      <c r="P26" s="64" t="s">
        <v>122</v>
      </c>
    </row>
    <row r="27" spans="1:16" ht="14.25">
      <c r="A27" s="14" t="s">
        <v>19</v>
      </c>
      <c r="B27" s="16">
        <v>2</v>
      </c>
      <c r="M27" s="64" t="s">
        <v>119</v>
      </c>
      <c r="N27" s="64" t="b">
        <f ca="1">OR(AND(ISNUMBER(SEARCH(M28,C3)),K1&gt;J1),(AND(ISNUMBER(SEARCH(M27,C3)),K1&lt;J1)))</f>
        <v>0</v>
      </c>
      <c r="O27" s="64"/>
      <c r="P27" s="64" t="s">
        <v>120</v>
      </c>
    </row>
    <row r="28" spans="1:16" ht="14.25">
      <c r="A28" s="14" t="s">
        <v>20</v>
      </c>
      <c r="B28" s="16">
        <v>3</v>
      </c>
      <c r="M28" s="64" t="s">
        <v>117</v>
      </c>
      <c r="N28" s="64" t="b">
        <f ca="1">OR(AND(ISNUMBER(SEARCH(M29,C3)),K1&gt;J1),(AND(ISNUMBER(SEARCH(M28,C3)),K1&lt;J1)))</f>
        <v>0</v>
      </c>
      <c r="O28" s="64"/>
      <c r="P28" s="64" t="s">
        <v>118</v>
      </c>
    </row>
    <row r="29" spans="1:16" ht="14.25">
      <c r="A29" s="14" t="s">
        <v>21</v>
      </c>
      <c r="B29" s="16">
        <v>4</v>
      </c>
      <c r="I29" s="12"/>
      <c r="M29" s="64" t="s">
        <v>115</v>
      </c>
      <c r="N29" s="64" t="b">
        <f ca="1">OR(AND(ISNUMBER(SEARCH(M30,C3)),K1&gt;J1),(AND(ISNUMBER(SEARCH(M29,C3)),K1&lt;J1)))</f>
        <v>0</v>
      </c>
      <c r="O29" s="64"/>
      <c r="P29" s="64" t="s">
        <v>116</v>
      </c>
    </row>
    <row r="30" spans="1:16" ht="14.25">
      <c r="A30" s="14" t="s">
        <v>22</v>
      </c>
      <c r="B30" s="16">
        <v>5</v>
      </c>
      <c r="M30" s="64" t="s">
        <v>113</v>
      </c>
      <c r="N30" s="64" t="b">
        <f ca="1">OR(AND(ISNUMBER(SEARCH(M31,C3)),K1&gt;J1),(AND(ISNUMBER(SEARCH(M30,C3)),K1&lt;J1)))</f>
        <v>1</v>
      </c>
      <c r="O30" s="64"/>
      <c r="P30" s="64" t="s">
        <v>114</v>
      </c>
    </row>
    <row r="31" spans="1:16" ht="14.25">
      <c r="A31" s="14" t="s">
        <v>13</v>
      </c>
      <c r="B31" s="16">
        <v>6</v>
      </c>
      <c r="M31" s="64" t="s">
        <v>111</v>
      </c>
      <c r="N31" s="64" t="b">
        <f ca="1">OR(AND(ISNUMBER(SEARCH(M32,C3)),K1&gt;J1),(AND(ISNUMBER(SEARCH(M31,C3)),K1&lt;J1)))</f>
        <v>0</v>
      </c>
      <c r="O31" s="64"/>
      <c r="P31" s="64" t="s">
        <v>112</v>
      </c>
    </row>
    <row r="32" spans="1:16" ht="14.25">
      <c r="A32" s="14" t="s">
        <v>23</v>
      </c>
      <c r="B32" s="16">
        <v>6.1</v>
      </c>
      <c r="M32" s="65" t="s">
        <v>109</v>
      </c>
      <c r="N32" s="64" t="b">
        <f ca="1">IF(N22=TRUE,FALSE,OR(AND(ISNUMBER(SEARCH(M33,C3)),K1&gt;J1),(AND(ISNUMBER(SEARCH(M32,C3)),K1&lt;J1))))</f>
        <v>0</v>
      </c>
      <c r="O32" s="64"/>
      <c r="P32" s="64" t="s">
        <v>110</v>
      </c>
    </row>
    <row r="33" spans="1:16" ht="14.25">
      <c r="A33" s="14" t="s">
        <v>24</v>
      </c>
      <c r="B33" s="16">
        <v>6.2</v>
      </c>
      <c r="M33" s="64" t="s">
        <v>107</v>
      </c>
      <c r="N33" s="64" t="b">
        <f ca="1">OR(AND(ISNUMBER(SEARCH(M34,C3)),K1&gt;J1),(AND(ISNUMBER(SEARCH(M33,C3)),K1&lt;J1)))</f>
        <v>0</v>
      </c>
      <c r="O33" s="64"/>
      <c r="P33" s="64" t="s">
        <v>108</v>
      </c>
    </row>
    <row r="34" spans="1:16" ht="14.25">
      <c r="A34" s="14" t="s">
        <v>25</v>
      </c>
      <c r="B34" s="16">
        <v>7</v>
      </c>
      <c r="M34" s="64" t="s">
        <v>105</v>
      </c>
      <c r="N34" s="64" t="b">
        <f ca="1">OR(AND(ISNUMBER(SEARCH(M35,C3)),K1&gt;J1),(AND(ISNUMBER(SEARCH(M34,C3)),K1&lt;J1)))</f>
        <v>0</v>
      </c>
      <c r="O34" s="64"/>
      <c r="P34" s="64" t="s">
        <v>106</v>
      </c>
    </row>
    <row r="35" spans="1:16" ht="14.25">
      <c r="A35" s="14" t="s">
        <v>26</v>
      </c>
      <c r="B35" s="16">
        <v>8</v>
      </c>
      <c r="M35" s="64" t="s">
        <v>103</v>
      </c>
      <c r="N35" s="64" t="b">
        <f ca="1">OR(AND(ISNUMBER(SEARCH(M36,C3)),K1&gt;J1),(AND(ISNUMBER(SEARCH(M35,C3)),K1&lt;J1)))</f>
        <v>0</v>
      </c>
      <c r="O35" s="64"/>
      <c r="P35" s="64" t="s">
        <v>104</v>
      </c>
    </row>
    <row r="36" spans="1:16" ht="14.25">
      <c r="A36" s="14" t="s">
        <v>27</v>
      </c>
      <c r="B36" s="16">
        <v>9</v>
      </c>
      <c r="M36" s="64" t="s">
        <v>101</v>
      </c>
      <c r="N36" s="64" t="b">
        <f ca="1">OR(AND(ISNUMBER(SEARCH(M37,C3)),K1&gt;J1),(AND(ISNUMBER(SEARCH(M36,C3)),K1&lt;J1)))</f>
        <v>0</v>
      </c>
      <c r="O36" s="64"/>
      <c r="P36" s="64" t="s">
        <v>102</v>
      </c>
    </row>
    <row r="37" spans="1:16" ht="14.25">
      <c r="A37" s="14" t="s">
        <v>28</v>
      </c>
      <c r="B37" s="16">
        <v>10</v>
      </c>
      <c r="M37" s="64" t="s">
        <v>99</v>
      </c>
      <c r="N37" s="64" t="b">
        <f ca="1">OR(AND(ISNUMBER(SEARCH(M38,C3)),K1&gt;J1),(AND(ISNUMBER(SEARCH(M37,C3)),K1&lt;J1)))</f>
        <v>0</v>
      </c>
      <c r="O37" s="64"/>
      <c r="P37" s="64" t="s">
        <v>100</v>
      </c>
    </row>
    <row r="38" spans="1:16" ht="14.25">
      <c r="A38" s="14" t="s">
        <v>29</v>
      </c>
      <c r="B38" s="16">
        <v>11</v>
      </c>
      <c r="M38" s="64" t="s">
        <v>97</v>
      </c>
      <c r="N38" s="64" t="b">
        <f ca="1">OR(AND(ISNUMBER(SEARCH(M39,C3)),K1&gt;J1),(AND(ISNUMBER(SEARCH(M38,C3)),K1&lt;J1)))</f>
        <v>0</v>
      </c>
      <c r="O38" s="64"/>
      <c r="P38" s="64" t="s">
        <v>98</v>
      </c>
    </row>
    <row r="39" spans="1:16" ht="14.25">
      <c r="A39" s="43" t="s">
        <v>30</v>
      </c>
      <c r="B39" s="32">
        <v>12</v>
      </c>
      <c r="M39" s="64" t="s">
        <v>95</v>
      </c>
      <c r="N39" s="64" t="b">
        <f ca="1">OR(AND(ISNUMBER(SEARCH(M40,C3)),K1&gt;J1),(AND(ISNUMBER(SEARCH(M39,C3)),K1&lt;J1)))</f>
        <v>0</v>
      </c>
      <c r="O39" s="64"/>
      <c r="P39" s="64" t="s">
        <v>96</v>
      </c>
    </row>
    <row r="40" spans="1:16" ht="14.25">
      <c r="M40" s="64" t="s">
        <v>93</v>
      </c>
      <c r="N40" s="64" t="b">
        <f ca="1">OR(AND(ISNUMBER(SEARCH(M41,C3)),K1&gt;J1),(AND(ISNUMBER(SEARCH(M40,C3)),K1&lt;J1)))</f>
        <v>0</v>
      </c>
      <c r="O40" s="64"/>
      <c r="P40" s="64" t="s">
        <v>94</v>
      </c>
    </row>
    <row r="41" spans="1:16" ht="14.25">
      <c r="M41" s="64" t="s">
        <v>91</v>
      </c>
      <c r="N41" s="64" t="b">
        <f ca="1">OR(AND(ISNUMBER(SEARCH(M42,C3)),K1&gt;J1),(AND(ISNUMBER(SEARCH(M41,C3)),K1&lt;J1)))</f>
        <v>0</v>
      </c>
      <c r="O41" s="64"/>
      <c r="P41" s="64" t="s">
        <v>92</v>
      </c>
    </row>
    <row r="42" spans="1:16" ht="14.25">
      <c r="M42" s="64" t="s">
        <v>89</v>
      </c>
      <c r="N42" s="64" t="b">
        <f ca="1">OR(AND(ISNUMBER(SEARCH(M43,C3)),K1&gt;J1),(AND(ISNUMBER(SEARCH(M42,C3)),K1&lt;J1)))</f>
        <v>0</v>
      </c>
      <c r="O42" s="64"/>
      <c r="P42" s="64" t="s">
        <v>90</v>
      </c>
    </row>
    <row r="43" spans="1:16" ht="14.25">
      <c r="M43" s="64" t="s">
        <v>87</v>
      </c>
      <c r="N43" s="64" t="b">
        <f ca="1">OR(AND(ISNUMBER(SEARCH(M44,C3)),K1&gt;J1),(AND(ISNUMBER(SEARCH(M43,C3)),K1&lt;J1)))</f>
        <v>0</v>
      </c>
      <c r="O43" s="64"/>
      <c r="P43" s="64" t="s">
        <v>88</v>
      </c>
    </row>
    <row r="44" spans="1:16" ht="14.25">
      <c r="M44" s="64" t="s">
        <v>85</v>
      </c>
      <c r="N44" s="64" t="b">
        <f ca="1">OR(AND(ISNUMBER(SEARCH(M45,C3)),K1&gt;J1),(AND(ISNUMBER(SEARCH(M44,C3)),K1&lt;J1)))</f>
        <v>0</v>
      </c>
      <c r="O44" s="64"/>
      <c r="P44" s="64" t="s">
        <v>86</v>
      </c>
    </row>
    <row r="45" spans="1:16" ht="14.25">
      <c r="M45" s="64" t="s">
        <v>83</v>
      </c>
      <c r="N45" s="64" t="b">
        <f ca="1">OR(AND(ISNUMBER(SEARCH(M46,C3)),K1&gt;J1),(AND(ISNUMBER(SEARCH(M45,C3)),K1&lt;J1)))</f>
        <v>0</v>
      </c>
      <c r="O45" s="64"/>
      <c r="P45" s="64" t="s">
        <v>84</v>
      </c>
    </row>
    <row r="46" spans="1:16" ht="14.25">
      <c r="M46" s="64" t="s">
        <v>81</v>
      </c>
      <c r="N46" s="64" t="b">
        <f ca="1">OR(AND(ISNUMBER(SEARCH(M47,C3)),K1&gt;J1),(AND(ISNUMBER(SEARCH(M46,C3)),K1&lt;J1)))</f>
        <v>0</v>
      </c>
      <c r="O46" s="64"/>
      <c r="P46" s="64" t="s">
        <v>82</v>
      </c>
    </row>
    <row r="47" spans="1:16" ht="14.25">
      <c r="M47" s="64" t="s">
        <v>79</v>
      </c>
      <c r="N47" s="64" t="b">
        <f ca="1">OR(AND(ISNUMBER(SEARCH(M48,C3)),K1&gt;J1),(AND(ISNUMBER(SEARCH(M47,C3)),K1&lt;J1)))</f>
        <v>0</v>
      </c>
      <c r="O47" s="64"/>
      <c r="P47" s="64" t="s">
        <v>80</v>
      </c>
    </row>
    <row r="48" spans="1:16" ht="14.25">
      <c r="M48" s="64" t="s">
        <v>77</v>
      </c>
      <c r="N48" s="64" t="b">
        <f ca="1">OR(AND(ISNUMBER(SEARCH(M49,C3)),K1&gt;J1),(AND(ISNUMBER(SEARCH(M48,C3)),K1&lt;J1)))</f>
        <v>0</v>
      </c>
      <c r="O48" s="64"/>
      <c r="P48" s="64" t="s">
        <v>78</v>
      </c>
    </row>
    <row r="49" spans="13:16" ht="14.25">
      <c r="M49" s="64" t="s">
        <v>75</v>
      </c>
      <c r="N49" s="64" t="b">
        <f ca="1">OR(AND(ISNUMBER(SEARCH(M50,C3)),K1&gt;J1),(AND(ISNUMBER(SEARCH(M49,C3)),K1&lt;J1)))</f>
        <v>0</v>
      </c>
      <c r="O49" s="64"/>
      <c r="P49" s="64" t="s">
        <v>76</v>
      </c>
    </row>
    <row r="50" spans="13:16" ht="14.25">
      <c r="M50" s="64" t="s">
        <v>73</v>
      </c>
      <c r="N50" s="64" t="b">
        <f ca="1">OR(AND(ISNUMBER(SEARCH(M51,C3)),K1&gt;J1),(AND(ISNUMBER(SEARCH(M50,C3)),K1&lt;J1)))</f>
        <v>0</v>
      </c>
      <c r="O50" s="64"/>
      <c r="P50" s="64" t="s">
        <v>74</v>
      </c>
    </row>
    <row r="51" spans="13:16">
      <c r="M51" s="66" t="s">
        <v>175</v>
      </c>
      <c r="N51" s="67"/>
      <c r="O51" s="67"/>
      <c r="P51" s="67"/>
    </row>
  </sheetData>
  <mergeCells count="1">
    <mergeCell ref="G21:J21"/>
  </mergeCells>
  <phoneticPr fontId="6" type="noConversion"/>
  <dataValidations disablePrompts="1" count="2">
    <dataValidation type="list" allowBlank="1" showInputMessage="1" showErrorMessage="1" sqref="B12" xr:uid="{00000000-0002-0000-0000-000000000000}">
      <formula1>"א,ב,ג,ד,ה,ו,ז,ח,ט,י,יא,יב,יג,יד,טו,טז,יז,יח,יט,כ,כא,כב,כג,כד,כה,כו,כז,כח,כט,ל"</formula1>
    </dataValidation>
    <dataValidation type="list" allowBlank="1" showInputMessage="1" showErrorMessage="1" sqref="B13" xr:uid="{00000000-0002-0000-0000-000001000000}">
      <formula1>HebMonths</formula1>
    </dataValidation>
  </dataValidations>
  <pageMargins left="0.75" right="0.75" top="1" bottom="1" header="0.5" footer="0.5"/>
  <pageSetup paperSize="9" orientation="portrait" horizontalDpi="300" verticalDpi="300" r:id="rId1"/>
  <headerFooter alignWithMargins="0"/>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גיליון1111"/>
  <dimension ref="A1:I89"/>
  <sheetViews>
    <sheetView rightToLeft="1" topLeftCell="A46" workbookViewId="0">
      <selection activeCell="B64" sqref="B64"/>
    </sheetView>
  </sheetViews>
  <sheetFormatPr defaultColWidth="9" defaultRowHeight="14.25"/>
  <cols>
    <col min="1" max="1" width="19.5" style="50" bestFit="1" customWidth="1"/>
    <col min="2" max="2" width="45.75" style="50" bestFit="1" customWidth="1"/>
    <col min="3" max="3" width="9" style="50"/>
    <col min="4" max="4" width="17.625" style="50" customWidth="1"/>
    <col min="5" max="16384" width="9" style="50"/>
  </cols>
  <sheetData>
    <row r="1" spans="1:2">
      <c r="A1" s="50" t="s">
        <v>69</v>
      </c>
    </row>
    <row r="2" spans="1:2">
      <c r="A2" s="50" t="s">
        <v>948</v>
      </c>
    </row>
    <row r="3" spans="1:2">
      <c r="A3" s="50" t="s">
        <v>949</v>
      </c>
    </row>
    <row r="4" spans="1:2">
      <c r="A4" s="50" t="s">
        <v>68</v>
      </c>
      <c r="B4" s="51"/>
    </row>
    <row r="5" spans="1:2">
      <c r="A5" s="50" t="s">
        <v>950</v>
      </c>
      <c r="B5" s="51"/>
    </row>
    <row r="6" spans="1:2">
      <c r="A6" s="50" t="s">
        <v>951</v>
      </c>
      <c r="B6" s="51"/>
    </row>
    <row r="7" spans="1:2">
      <c r="A7" s="50" t="s">
        <v>952</v>
      </c>
      <c r="B7" s="51"/>
    </row>
    <row r="8" spans="1:2">
      <c r="A8" s="56" t="s">
        <v>68</v>
      </c>
      <c r="B8" s="51"/>
    </row>
    <row r="9" spans="1:2">
      <c r="A9" s="50" t="s">
        <v>953</v>
      </c>
      <c r="B9" s="51"/>
    </row>
    <row r="10" spans="1:2">
      <c r="A10" s="50" t="s">
        <v>954</v>
      </c>
      <c r="B10" s="51"/>
    </row>
    <row r="11" spans="1:2">
      <c r="A11" s="50" t="s">
        <v>955</v>
      </c>
      <c r="B11" s="51"/>
    </row>
    <row r="12" spans="1:2">
      <c r="A12" s="50" t="s">
        <v>965</v>
      </c>
      <c r="B12" s="51"/>
    </row>
    <row r="13" spans="1:2">
      <c r="A13" s="50" t="s">
        <v>956</v>
      </c>
      <c r="B13" s="51"/>
    </row>
    <row r="14" spans="1:2">
      <c r="A14" s="50" t="s">
        <v>957</v>
      </c>
      <c r="B14" s="51"/>
    </row>
    <row r="15" spans="1:2">
      <c r="A15" s="50" t="s">
        <v>958</v>
      </c>
      <c r="B15" s="51"/>
    </row>
    <row r="16" spans="1:2">
      <c r="A16" s="50" t="s">
        <v>35</v>
      </c>
      <c r="B16" s="51"/>
    </row>
    <row r="17" spans="1:7">
      <c r="A17" s="50" t="s">
        <v>34</v>
      </c>
      <c r="B17" s="51"/>
    </row>
    <row r="18" spans="1:7">
      <c r="A18" s="50" t="s">
        <v>66</v>
      </c>
      <c r="B18" s="51"/>
    </row>
    <row r="19" spans="1:7">
      <c r="A19" s="50" t="s">
        <v>35</v>
      </c>
    </row>
    <row r="20" spans="1:7">
      <c r="A20" s="50" t="s">
        <v>959</v>
      </c>
    </row>
    <row r="21" spans="1:7">
      <c r="A21" s="50" t="s">
        <v>67</v>
      </c>
    </row>
    <row r="22" spans="1:7">
      <c r="A22" s="50" t="s">
        <v>1126</v>
      </c>
    </row>
    <row r="23" spans="1:7">
      <c r="A23" s="50" t="s">
        <v>960</v>
      </c>
    </row>
    <row r="24" spans="1:7">
      <c r="A24" s="50" t="s">
        <v>961</v>
      </c>
    </row>
    <row r="25" spans="1:7">
      <c r="A25" s="50" t="s">
        <v>65</v>
      </c>
    </row>
    <row r="26" spans="1:7">
      <c r="A26" s="55" t="s">
        <v>64</v>
      </c>
    </row>
    <row r="27" spans="1:7">
      <c r="A27" s="55" t="s">
        <v>1126</v>
      </c>
    </row>
    <row r="28" spans="1:7">
      <c r="A28" s="55" t="s">
        <v>1127</v>
      </c>
    </row>
    <row r="29" spans="1:7">
      <c r="A29" s="50" t="s">
        <v>67</v>
      </c>
    </row>
    <row r="30" spans="1:7">
      <c r="A30" s="50" t="s">
        <v>1126</v>
      </c>
    </row>
    <row r="31" spans="1:7">
      <c r="A31" s="50" t="s">
        <v>1128</v>
      </c>
    </row>
    <row r="32" spans="1:7">
      <c r="A32" s="50" t="s">
        <v>63</v>
      </c>
      <c r="B32" s="51"/>
      <c r="C32" s="52"/>
      <c r="D32" s="51"/>
      <c r="G32" s="54"/>
    </row>
    <row r="33" spans="1:9">
      <c r="A33" s="50" t="s">
        <v>1126</v>
      </c>
      <c r="B33" s="53"/>
      <c r="I33" s="51"/>
    </row>
    <row r="34" spans="1:9">
      <c r="A34" s="52" t="s">
        <v>62</v>
      </c>
      <c r="B34" s="51">
        <v>0.18472222222222223</v>
      </c>
    </row>
    <row r="35" spans="1:9">
      <c r="A35" s="50" t="s">
        <v>962</v>
      </c>
      <c r="B35" s="51">
        <v>0.20208333333333331</v>
      </c>
    </row>
    <row r="36" spans="1:9">
      <c r="A36" s="52" t="s">
        <v>61</v>
      </c>
      <c r="B36" s="51">
        <v>0.24097222222222223</v>
      </c>
    </row>
    <row r="37" spans="1:9">
      <c r="A37" s="52" t="s">
        <v>60</v>
      </c>
      <c r="B37" s="51">
        <v>0.24305555555555555</v>
      </c>
    </row>
    <row r="38" spans="1:9">
      <c r="A38" s="52" t="s">
        <v>59</v>
      </c>
      <c r="B38" s="51">
        <v>0.34791666666666665</v>
      </c>
    </row>
    <row r="39" spans="1:9">
      <c r="A39" s="52" t="s">
        <v>58</v>
      </c>
      <c r="B39" s="51">
        <v>0.3833333333333333</v>
      </c>
    </row>
    <row r="40" spans="1:9">
      <c r="A40" s="52" t="s">
        <v>57</v>
      </c>
      <c r="B40" s="51">
        <v>0.4069444444444445</v>
      </c>
    </row>
    <row r="41" spans="1:9">
      <c r="A41" s="52" t="s">
        <v>56</v>
      </c>
      <c r="B41" s="51">
        <v>0.43055555555555558</v>
      </c>
    </row>
    <row r="42" spans="1:9">
      <c r="A42" s="50" t="s">
        <v>55</v>
      </c>
      <c r="B42" s="51">
        <v>0.52569444444444446</v>
      </c>
    </row>
    <row r="43" spans="1:9">
      <c r="A43" s="50" t="s">
        <v>54</v>
      </c>
      <c r="B43" s="51">
        <v>0.54652777777777783</v>
      </c>
    </row>
    <row r="44" spans="1:9">
      <c r="A44" s="50" t="s">
        <v>53</v>
      </c>
      <c r="B44" s="51">
        <v>0.69166666666666676</v>
      </c>
    </row>
    <row r="45" spans="1:9">
      <c r="A45" s="50" t="s">
        <v>52</v>
      </c>
      <c r="B45" s="51">
        <v>0.75138888888888899</v>
      </c>
    </row>
    <row r="46" spans="1:9">
      <c r="A46" s="50" t="s">
        <v>51</v>
      </c>
      <c r="B46" s="51">
        <v>0.81111111111111101</v>
      </c>
    </row>
    <row r="47" spans="1:9">
      <c r="A47" s="50" t="s">
        <v>50</v>
      </c>
      <c r="B47" s="51">
        <v>0.81180555555555556</v>
      </c>
    </row>
    <row r="48" spans="1:9">
      <c r="A48" s="50" t="s">
        <v>49</v>
      </c>
      <c r="B48" s="51">
        <v>0.82430555555555562</v>
      </c>
    </row>
    <row r="49" spans="1:2">
      <c r="A49" s="50" t="s">
        <v>48</v>
      </c>
      <c r="B49" s="51">
        <v>0.86111111111111116</v>
      </c>
    </row>
    <row r="50" spans="1:2">
      <c r="A50" s="50" t="s">
        <v>47</v>
      </c>
      <c r="B50" s="51" t="s">
        <v>1129</v>
      </c>
    </row>
    <row r="51" spans="1:2">
      <c r="A51" s="50" t="s">
        <v>46</v>
      </c>
      <c r="B51" s="51" t="s">
        <v>1130</v>
      </c>
    </row>
    <row r="52" spans="1:2">
      <c r="A52" s="50" t="s">
        <v>45</v>
      </c>
      <c r="B52" s="51" t="s">
        <v>1131</v>
      </c>
    </row>
    <row r="53" spans="1:2">
      <c r="A53" s="50" t="s">
        <v>1117</v>
      </c>
      <c r="B53" s="51" t="s">
        <v>1132</v>
      </c>
    </row>
    <row r="54" spans="1:2">
      <c r="A54" s="50" t="s">
        <v>944</v>
      </c>
    </row>
    <row r="55" spans="1:2">
      <c r="A55" s="50" t="s">
        <v>1133</v>
      </c>
    </row>
    <row r="56" spans="1:2">
      <c r="A56" s="58" t="s">
        <v>1134</v>
      </c>
    </row>
    <row r="57" spans="1:2">
      <c r="A57" s="50" t="s">
        <v>1142</v>
      </c>
    </row>
    <row r="58" spans="1:2">
      <c r="A58" s="58" t="s">
        <v>1135</v>
      </c>
    </row>
    <row r="59" spans="1:2">
      <c r="A59" s="50" t="s">
        <v>1136</v>
      </c>
    </row>
    <row r="60" spans="1:2">
      <c r="A60" s="68" t="s">
        <v>1137</v>
      </c>
      <c r="B60" s="68"/>
    </row>
    <row r="61" spans="1:2">
      <c r="A61" s="69" t="s">
        <v>1138</v>
      </c>
      <c r="B61" s="69"/>
    </row>
    <row r="62" spans="1:2">
      <c r="A62" s="50" t="s">
        <v>1139</v>
      </c>
    </row>
    <row r="63" spans="1:2">
      <c r="A63" s="50" t="s">
        <v>1140</v>
      </c>
    </row>
    <row r="64" spans="1:2">
      <c r="A64" s="140"/>
      <c r="B64" s="103"/>
    </row>
    <row r="65" spans="1:1">
      <c r="A65" s="50" t="s">
        <v>945</v>
      </c>
    </row>
    <row r="66" spans="1:1">
      <c r="A66" s="50" t="s">
        <v>946</v>
      </c>
    </row>
    <row r="67" spans="1:1">
      <c r="A67" s="50" t="s">
        <v>40</v>
      </c>
    </row>
    <row r="68" spans="1:1">
      <c r="A68" s="50" t="s">
        <v>1141</v>
      </c>
    </row>
    <row r="70" spans="1:1">
      <c r="A70" s="50" t="s">
        <v>947</v>
      </c>
    </row>
    <row r="71" spans="1:1">
      <c r="A71" s="50" t="s">
        <v>963</v>
      </c>
    </row>
    <row r="72" spans="1:1">
      <c r="A72" s="50" t="s">
        <v>44</v>
      </c>
    </row>
    <row r="73" spans="1:1">
      <c r="A73" s="50" t="s">
        <v>43</v>
      </c>
    </row>
    <row r="74" spans="1:1">
      <c r="A74" s="50" t="s">
        <v>42</v>
      </c>
    </row>
    <row r="75" spans="1:1">
      <c r="A75" s="50" t="s">
        <v>41</v>
      </c>
    </row>
    <row r="76" spans="1:1">
      <c r="A76" s="50" t="s">
        <v>40</v>
      </c>
    </row>
    <row r="77" spans="1:1">
      <c r="A77" s="50" t="s">
        <v>1141</v>
      </c>
    </row>
    <row r="78" spans="1:1">
      <c r="A78" s="50" t="s">
        <v>948</v>
      </c>
    </row>
    <row r="79" spans="1:1">
      <c r="A79" s="50" t="s">
        <v>39</v>
      </c>
    </row>
    <row r="80" spans="1:1">
      <c r="A80" s="50" t="s">
        <v>38</v>
      </c>
    </row>
    <row r="81" spans="1:1">
      <c r="A81" s="50" t="s">
        <v>37</v>
      </c>
    </row>
    <row r="82" spans="1:1">
      <c r="A82" s="50" t="s">
        <v>38</v>
      </c>
    </row>
    <row r="83" spans="1:1">
      <c r="A83" s="50" t="s">
        <v>964</v>
      </c>
    </row>
    <row r="84" spans="1:1">
      <c r="A84" s="50" t="s">
        <v>36</v>
      </c>
    </row>
    <row r="85" spans="1:1">
      <c r="A85" s="50" t="s">
        <v>35</v>
      </c>
    </row>
    <row r="86" spans="1:1">
      <c r="A86" s="50" t="s">
        <v>34</v>
      </c>
    </row>
    <row r="87" spans="1:1">
      <c r="A87" s="50" t="s">
        <v>33</v>
      </c>
    </row>
    <row r="88" spans="1:1">
      <c r="A88" s="50" t="s">
        <v>32</v>
      </c>
    </row>
    <row r="89" spans="1:1">
      <c r="A89" s="50" t="s">
        <v>31</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גיליון2111"/>
  <dimension ref="A1:M45"/>
  <sheetViews>
    <sheetView showGridLines="0" rightToLeft="1" zoomScaleNormal="100" workbookViewId="0">
      <selection activeCell="C4" sqref="C4"/>
    </sheetView>
  </sheetViews>
  <sheetFormatPr defaultColWidth="9" defaultRowHeight="14.25"/>
  <cols>
    <col min="1" max="1" width="46.25" style="70" bestFit="1" customWidth="1"/>
    <col min="2" max="2" width="23.125" style="70" customWidth="1"/>
    <col min="3" max="3" width="19.25" style="70" bestFit="1" customWidth="1"/>
    <col min="4" max="4" width="9" style="70"/>
    <col min="5" max="5" width="5.375" style="70" bestFit="1" customWidth="1"/>
    <col min="6" max="6" width="18.75" style="70" bestFit="1" customWidth="1"/>
    <col min="7" max="7" width="5.375" style="70" bestFit="1" customWidth="1"/>
    <col min="8" max="8" width="4.125" style="70" customWidth="1"/>
    <col min="9" max="9" width="40.75" style="70" bestFit="1" customWidth="1"/>
    <col min="10" max="10" width="21.75" style="70" customWidth="1"/>
    <col min="11" max="16384" width="9" style="70"/>
  </cols>
  <sheetData>
    <row r="1" spans="1:13">
      <c r="A1" s="149" t="str">
        <f ca="1">VLOOKUP("פרשת השבוע: *",גיליון1!A:A,1,FALSE)&amp;
גיליון4!$Q$2</f>
        <v>פרשת השבוע: בחוקותי</v>
      </c>
      <c r="B1" s="148" t="str">
        <f>VLOOKUP("יום*",גיליון1!A:A,1,FALSE)</f>
        <v>יום שישי - כ"ו אייר ה'תשע"ח, 11/05/2018</v>
      </c>
      <c r="C1" s="148"/>
      <c r="E1" s="134">
        <f>C13</f>
        <v>0.81111111111111101</v>
      </c>
      <c r="M1" s="70" t="s">
        <v>173</v>
      </c>
    </row>
    <row r="2" spans="1:13" ht="14.25" customHeight="1">
      <c r="A2" s="149"/>
      <c r="B2" s="71" t="s">
        <v>62</v>
      </c>
      <c r="C2" s="72">
        <f>VLOOKUP("עלות השחר",גיליון1!A:B,2,FALSE)</f>
        <v>0.18472222222222223</v>
      </c>
      <c r="E2" s="134">
        <v>1.3888888888888888E-2</v>
      </c>
    </row>
    <row r="3" spans="1:13" ht="14.25" customHeight="1">
      <c r="A3" s="149"/>
      <c r="B3" s="73" t="s">
        <v>174</v>
      </c>
      <c r="C3" s="74">
        <f>C4-((C14-C2)/12)</f>
        <v>0.18767361111111111</v>
      </c>
      <c r="E3" s="135">
        <f>E1-E2</f>
        <v>0.79722222222222217</v>
      </c>
      <c r="F3" s="139" t="str">
        <f t="shared" ref="F3:G3" si="0">B4</f>
        <v>זריחה</v>
      </c>
      <c r="G3" s="139">
        <f t="shared" si="0"/>
        <v>0.24097222222222223</v>
      </c>
    </row>
    <row r="4" spans="1:13">
      <c r="A4" s="149"/>
      <c r="B4" s="71" t="s">
        <v>72</v>
      </c>
      <c r="C4" s="72">
        <f>VLOOKUP("sunrise1זריחה מישורית",גיליון1!A:B,2,FALSE)</f>
        <v>0.24097222222222223</v>
      </c>
      <c r="F4" s="139" t="str">
        <f t="shared" ref="F4:G4" si="1">B6</f>
        <v>סוף זמן קריאת שמע גרא</v>
      </c>
      <c r="G4" s="139">
        <f t="shared" si="1"/>
        <v>0.3833333333333333</v>
      </c>
    </row>
    <row r="5" spans="1:13" ht="15">
      <c r="A5" s="75" t="str">
        <f>IFERROR(IFERROR(VLOOKUP("המולד*",גיליון1!A:A,1,FALSE),VLOOKUP("פרקי אבות *",גיליון1!A:A,1,FALSE)),"")</f>
        <v>המולד: ליל שלישי, בשעה 5 בלילה, 21 דקות ו6 חלקים</v>
      </c>
      <c r="B5" s="73" t="s">
        <v>59</v>
      </c>
      <c r="C5" s="76">
        <f>VLOOKUP("סוף זמן קריאת שמע מג""א",גיליון1!A:B,2,FALSE)</f>
        <v>0.34791666666666665</v>
      </c>
      <c r="F5" s="139" t="str">
        <f t="shared" ref="F5:G5" si="2">B8</f>
        <v>סוף זמן תפילה גרא</v>
      </c>
      <c r="G5" s="139">
        <f t="shared" si="2"/>
        <v>0.43055555555555558</v>
      </c>
    </row>
    <row r="6" spans="1:13" ht="15">
      <c r="A6" s="77" t="str">
        <f>IFERROR(VLOOKUP("הפטרה (ספרדים)*",גיליון1!A:A,1,FALSE),VLOOKUP("הפטרה*",גיליון1!A:A,1,FALSE))</f>
        <v>הפטרה: ה' עזי ומעזי (ירמיהו טז,יט-יז,יד)</v>
      </c>
      <c r="B6" s="71" t="s">
        <v>58</v>
      </c>
      <c r="C6" s="72">
        <f>VLOOKUP("סוף זמן קריאת שמע גרא",גיליון1!A:B,2,FALSE)</f>
        <v>0.3833333333333333</v>
      </c>
      <c r="F6" s="139" t="str">
        <f t="shared" ref="F6:G6" si="3">B13</f>
        <v>שקיעה</v>
      </c>
      <c r="G6" s="139">
        <f t="shared" si="3"/>
        <v>0.81111111111111101</v>
      </c>
    </row>
    <row r="7" spans="1:13" ht="15">
      <c r="A7" s="75" t="str">
        <f>VLOOKUP("הדלקת נרות*",גיליון1!A:A,1,FALSE)</f>
        <v>הדלקת נרות: 19:08</v>
      </c>
      <c r="B7" s="73" t="s">
        <v>57</v>
      </c>
      <c r="C7" s="78">
        <f>VLOOKUP("סוף זמן תפילה מג""א",גיליון1!A:B,2,FALSE)</f>
        <v>0.4069444444444445</v>
      </c>
    </row>
    <row r="8" spans="1:13" ht="15">
      <c r="A8" s="79" t="str">
        <f>VLOOKUP("צאת השבת*",גיליון1!A:A,1,FALSE)</f>
        <v>צאת השבת: 20:08</v>
      </c>
      <c r="B8" s="71" t="s">
        <v>56</v>
      </c>
      <c r="C8" s="72">
        <f>VLOOKUP("סוף זמן תפילה גרא",גיליון1!A:B,2,FALSE)</f>
        <v>0.43055555555555558</v>
      </c>
    </row>
    <row r="9" spans="1:13" ht="15">
      <c r="A9" s="75" t="str">
        <f>VLOOKUP("צאת השבת לרבינו תם*",גיליון1!A:A,1,FALSE)</f>
        <v>צאת השבת לרבינו תם: 20:41</v>
      </c>
      <c r="B9" s="73" t="s">
        <v>55</v>
      </c>
      <c r="C9" s="78">
        <f>VLOOKUP("חצות היום והלילה",גיליון1!A:B,2,FALSE)</f>
        <v>0.52569444444444446</v>
      </c>
    </row>
    <row r="10" spans="1:13" ht="15">
      <c r="A10" s="142">
        <f ca="1">IFERROR(Holidays!H5,VLOOKUP("מועד",גיליון1!A:B,2,FALSE))</f>
        <v>0</v>
      </c>
      <c r="B10" s="71" t="s">
        <v>54</v>
      </c>
      <c r="C10" s="72">
        <f>VLOOKUP("תחילת זמן מנחה גדולה",גיליון1!A:B,2,FALSE)</f>
        <v>0.54652777777777783</v>
      </c>
    </row>
    <row r="11" spans="1:13">
      <c r="A11" s="153" t="str">
        <f ca="1">גיליון4!$O$13</f>
        <v xml:space="preserve">מוריד הטל
ברכנו
</v>
      </c>
      <c r="B11" s="73" t="s">
        <v>53</v>
      </c>
      <c r="C11" s="78">
        <f>VLOOKUP("מנחה קטנה",גיליון1!A:B,2,FALSE)</f>
        <v>0.69166666666666676</v>
      </c>
    </row>
    <row r="12" spans="1:13">
      <c r="A12" s="153"/>
      <c r="B12" s="71" t="s">
        <v>52</v>
      </c>
      <c r="C12" s="72">
        <f>VLOOKUP("פלג המנחה",גיליון1!A:B,2,FALSE)</f>
        <v>0.75138888888888899</v>
      </c>
    </row>
    <row r="13" spans="1:13">
      <c r="A13" s="153"/>
      <c r="B13" s="73" t="s">
        <v>71</v>
      </c>
      <c r="C13" s="78">
        <f>VLOOKUP("fog-sunשקיעה מישורית",גיליון1!A:B,2,FALSE)</f>
        <v>0.81111111111111101</v>
      </c>
    </row>
    <row r="14" spans="1:13">
      <c r="A14" s="153"/>
      <c r="B14" s="71" t="s">
        <v>70</v>
      </c>
      <c r="C14" s="72">
        <f>VLOOKUP("nightצאת הכוכבים",גיליון1!A:B,2,FALSE)</f>
        <v>0.82430555555555562</v>
      </c>
    </row>
    <row r="15" spans="1:13">
      <c r="A15" s="153"/>
      <c r="B15" s="73" t="s">
        <v>48</v>
      </c>
      <c r="C15" s="78">
        <f>VLOOKUP("צאת הכוכבים לרבנו תם",גיליון1!A:B,2,FALSE)</f>
        <v>0.86111111111111116</v>
      </c>
      <c r="F15" s="81"/>
    </row>
    <row r="16" spans="1:13">
      <c r="A16" s="153"/>
      <c r="B16" s="71" t="s">
        <v>47</v>
      </c>
      <c r="C16" s="72" t="str">
        <f>VLOOKUP("דף יומי בבלי",גיליון1!A:B,2,FALSE)</f>
        <v>זבחים כ"ח</v>
      </c>
      <c r="F16" s="81"/>
    </row>
    <row r="17" spans="1:3">
      <c r="A17" s="153"/>
      <c r="B17" s="73" t="s">
        <v>46</v>
      </c>
      <c r="C17" s="78" t="str">
        <f>VLOOKUP("דף יומי ירושלמי",גיליון1!A:B,2,FALSE)</f>
        <v>סנהדרין מ"ג</v>
      </c>
    </row>
    <row r="18" spans="1:3" ht="15" customHeight="1">
      <c r="A18" s="153"/>
      <c r="B18" s="71" t="s">
        <v>45</v>
      </c>
      <c r="C18" s="72" t="str">
        <f>VLOOKUP("רמבם יומי",גיליון1!A:B,2,FALSE)</f>
        <v>הלכות אישות כ"א</v>
      </c>
    </row>
    <row r="19" spans="1:3">
      <c r="A19" s="80"/>
      <c r="B19" s="150" t="str">
        <f ca="1">'ממיר תאריך עברי ללועזי'!$L$3</f>
        <v>היום אחד וארבעים יום שהם חמישה שבועות ושישה ימים לעומר</v>
      </c>
      <c r="C19" s="150"/>
    </row>
    <row r="20" spans="1:3">
      <c r="A20" s="80"/>
      <c r="B20" s="82"/>
      <c r="C20" s="76"/>
    </row>
    <row r="21" spans="1:3">
      <c r="B21" s="83"/>
      <c r="C21" s="78"/>
    </row>
    <row r="22" spans="1:3">
      <c r="A22" s="151" t="str">
        <f ca="1">$A$1</f>
        <v>פרשת השבוע: בחוקותי</v>
      </c>
      <c r="B22" s="152" t="str">
        <f t="shared" ref="B22:B40" si="4">B1</f>
        <v>יום שישי - כ"ו אייר ה'תשע"ח, 11/05/2018</v>
      </c>
      <c r="C22" s="152"/>
    </row>
    <row r="23" spans="1:3">
      <c r="A23" s="151"/>
      <c r="B23" s="84" t="str">
        <f t="shared" si="4"/>
        <v>עלות השחר</v>
      </c>
      <c r="C23" s="85">
        <f t="shared" ref="C23:C39" si="5">C2</f>
        <v>0.18472222222222223</v>
      </c>
    </row>
    <row r="24" spans="1:3">
      <c r="A24" s="151"/>
      <c r="B24" s="128" t="str">
        <f t="shared" si="4"/>
        <v>ציצית ותפילין</v>
      </c>
      <c r="C24" s="86">
        <f t="shared" si="5"/>
        <v>0.18767361111111111</v>
      </c>
    </row>
    <row r="25" spans="1:3">
      <c r="A25" s="151"/>
      <c r="B25" s="84" t="str">
        <f t="shared" si="4"/>
        <v>זריחה</v>
      </c>
      <c r="C25" s="85">
        <f t="shared" si="5"/>
        <v>0.24097222222222223</v>
      </c>
    </row>
    <row r="26" spans="1:3" ht="15">
      <c r="A26" s="87" t="str">
        <f t="shared" ref="A26:A30" si="6">A5</f>
        <v>המולד: ליל שלישי, בשעה 5 בלילה, 21 דקות ו6 חלקים</v>
      </c>
      <c r="B26" s="128" t="str">
        <f t="shared" si="4"/>
        <v>סוף זמן קריאת שמע מג"א</v>
      </c>
      <c r="C26" s="86">
        <f t="shared" si="5"/>
        <v>0.34791666666666665</v>
      </c>
    </row>
    <row r="27" spans="1:3" ht="15">
      <c r="A27" s="88" t="str">
        <f t="shared" si="6"/>
        <v>הפטרה: ה' עזי ומעזי (ירמיהו טז,יט-יז,יד)</v>
      </c>
      <c r="B27" s="84" t="str">
        <f t="shared" si="4"/>
        <v>סוף זמן קריאת שמע גרא</v>
      </c>
      <c r="C27" s="85">
        <f t="shared" si="5"/>
        <v>0.3833333333333333</v>
      </c>
    </row>
    <row r="28" spans="1:3" ht="15">
      <c r="A28" s="87" t="str">
        <f t="shared" si="6"/>
        <v>הדלקת נרות: 19:08</v>
      </c>
      <c r="B28" s="128" t="str">
        <f t="shared" si="4"/>
        <v>סוף זמן תפילה מג"א</v>
      </c>
      <c r="C28" s="86">
        <f t="shared" si="5"/>
        <v>0.4069444444444445</v>
      </c>
    </row>
    <row r="29" spans="1:3" ht="15">
      <c r="A29" s="88" t="str">
        <f t="shared" si="6"/>
        <v>צאת השבת: 20:08</v>
      </c>
      <c r="B29" s="84" t="str">
        <f t="shared" si="4"/>
        <v>סוף זמן תפילה גרא</v>
      </c>
      <c r="C29" s="85">
        <f t="shared" si="5"/>
        <v>0.43055555555555558</v>
      </c>
    </row>
    <row r="30" spans="1:3" ht="15">
      <c r="A30" s="87" t="str">
        <f t="shared" si="6"/>
        <v>צאת השבת לרבינו תם: 20:41</v>
      </c>
      <c r="B30" s="128" t="str">
        <f t="shared" si="4"/>
        <v>חצות היום והלילה</v>
      </c>
      <c r="C30" s="86">
        <f t="shared" si="5"/>
        <v>0.52569444444444446</v>
      </c>
    </row>
    <row r="31" spans="1:3" ht="15">
      <c r="A31" s="108">
        <f ca="1">A10</f>
        <v>0</v>
      </c>
      <c r="B31" s="84" t="str">
        <f t="shared" si="4"/>
        <v>תחילת זמן מנחה גדולה</v>
      </c>
      <c r="C31" s="85">
        <f t="shared" si="5"/>
        <v>0.54652777777777783</v>
      </c>
    </row>
    <row r="32" spans="1:3">
      <c r="A32" s="154" t="str">
        <f ca="1">$A$11</f>
        <v xml:space="preserve">מוריד הטל
ברכנו
</v>
      </c>
      <c r="B32" s="128" t="str">
        <f t="shared" si="4"/>
        <v>מנחה קטנה</v>
      </c>
      <c r="C32" s="86">
        <f t="shared" si="5"/>
        <v>0.69166666666666676</v>
      </c>
    </row>
    <row r="33" spans="1:3">
      <c r="A33" s="154"/>
      <c r="B33" s="84" t="str">
        <f t="shared" si="4"/>
        <v>פלג המנחה</v>
      </c>
      <c r="C33" s="85">
        <f t="shared" si="5"/>
        <v>0.75138888888888899</v>
      </c>
    </row>
    <row r="34" spans="1:3">
      <c r="A34" s="154"/>
      <c r="B34" s="128" t="str">
        <f t="shared" si="4"/>
        <v>שקיעה</v>
      </c>
      <c r="C34" s="86">
        <f t="shared" si="5"/>
        <v>0.81111111111111101</v>
      </c>
    </row>
    <row r="35" spans="1:3">
      <c r="A35" s="154"/>
      <c r="B35" s="84" t="str">
        <f t="shared" si="4"/>
        <v>צאת הכוכבים</v>
      </c>
      <c r="C35" s="85">
        <f t="shared" si="5"/>
        <v>0.82430555555555562</v>
      </c>
    </row>
    <row r="36" spans="1:3">
      <c r="A36" s="154"/>
      <c r="B36" s="128" t="str">
        <f t="shared" si="4"/>
        <v>צאת הכוכבים לרבנו תם</v>
      </c>
      <c r="C36" s="86">
        <f t="shared" si="5"/>
        <v>0.86111111111111116</v>
      </c>
    </row>
    <row r="37" spans="1:3">
      <c r="A37" s="154"/>
      <c r="B37" s="84" t="str">
        <f t="shared" si="4"/>
        <v>דף יומי בבלי</v>
      </c>
      <c r="C37" s="85" t="str">
        <f t="shared" si="5"/>
        <v>זבחים כ"ח</v>
      </c>
    </row>
    <row r="38" spans="1:3">
      <c r="A38" s="154"/>
      <c r="B38" s="128" t="str">
        <f t="shared" si="4"/>
        <v>דף יומי ירושלמי</v>
      </c>
      <c r="C38" s="86" t="str">
        <f t="shared" si="5"/>
        <v>סנהדרין מ"ג</v>
      </c>
    </row>
    <row r="39" spans="1:3">
      <c r="A39" s="154"/>
      <c r="B39" s="84" t="str">
        <f t="shared" si="4"/>
        <v>רמבם יומי</v>
      </c>
      <c r="C39" s="90" t="str">
        <f t="shared" si="5"/>
        <v>הלכות אישות כ"א</v>
      </c>
    </row>
    <row r="40" spans="1:3" ht="14.25" customHeight="1">
      <c r="A40" s="89"/>
      <c r="B40" s="147" t="str">
        <f t="shared" ca="1" si="4"/>
        <v>היום אחד וארבעים יום שהם חמישה שבועות ושישה ימים לעומר</v>
      </c>
      <c r="C40" s="147"/>
    </row>
    <row r="41" spans="1:3">
      <c r="A41" s="91"/>
      <c r="B41" s="92"/>
      <c r="C41" s="92"/>
    </row>
    <row r="42" spans="1:3">
      <c r="A42" s="91"/>
      <c r="B42" s="91"/>
      <c r="C42" s="91"/>
    </row>
    <row r="43" spans="1:3">
      <c r="A43" s="91"/>
      <c r="B43" s="91"/>
      <c r="C43" s="91"/>
    </row>
    <row r="44" spans="1:3">
      <c r="A44" s="91"/>
      <c r="B44" s="91"/>
      <c r="C44" s="91"/>
    </row>
    <row r="45" spans="1:3" ht="15">
      <c r="A45" s="75"/>
      <c r="B45" s="73"/>
      <c r="C45" s="76"/>
    </row>
  </sheetData>
  <mergeCells count="8">
    <mergeCell ref="B40:C40"/>
    <mergeCell ref="B1:C1"/>
    <mergeCell ref="A1:A4"/>
    <mergeCell ref="B19:C19"/>
    <mergeCell ref="A22:A25"/>
    <mergeCell ref="B22:C22"/>
    <mergeCell ref="A11:A18"/>
    <mergeCell ref="A32:A39"/>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גיליון3111"/>
  <dimension ref="A1:H112"/>
  <sheetViews>
    <sheetView showGridLines="0" rightToLeft="1" tabSelected="1" topLeftCell="A2" zoomScaleNormal="100" workbookViewId="0">
      <selection activeCell="A4" sqref="A4"/>
    </sheetView>
  </sheetViews>
  <sheetFormatPr defaultColWidth="9" defaultRowHeight="14.25"/>
  <cols>
    <col min="1" max="1" width="61.75" style="94" bestFit="1" customWidth="1"/>
    <col min="2" max="2" width="22" style="94" customWidth="1"/>
    <col min="3" max="3" width="27.75" style="94" customWidth="1"/>
    <col min="4" max="4" width="23.75" style="94" customWidth="1"/>
    <col min="5" max="5" width="25.75" style="94" customWidth="1"/>
    <col min="6" max="6" width="29.25" style="94" customWidth="1"/>
    <col min="7" max="7" width="40.125" style="94" customWidth="1"/>
    <col min="8" max="8" width="19.25" style="94" customWidth="1"/>
    <col min="9" max="16384" width="9" style="94"/>
  </cols>
  <sheetData>
    <row r="1" spans="1:8" ht="54.75">
      <c r="A1" s="93" t="str">
        <f>גיליון2!$A$7</f>
        <v>הדלקת נרות: 19:08</v>
      </c>
      <c r="B1" s="93" t="str">
        <f>RIGHT(A1, LEN(A1)-12)</f>
        <v>19:08</v>
      </c>
      <c r="C1" s="133" t="str">
        <f>$B$1</f>
        <v>19:08</v>
      </c>
    </row>
    <row r="2" spans="1:8" ht="54.75">
      <c r="A2" s="93" t="str">
        <f>גיליון2!$A$8</f>
        <v>צאת השבת: 20:08</v>
      </c>
      <c r="B2" s="93" t="str">
        <f>RIGHT(A2, LEN(A2)-10)</f>
        <v>20:08</v>
      </c>
      <c r="C2" s="133" t="str">
        <f>$B$2</f>
        <v>20:08</v>
      </c>
    </row>
    <row r="4" spans="1:8" ht="54.75">
      <c r="A4" s="145">
        <f>גיליון2!$C$4</f>
        <v>0.24097222222222223</v>
      </c>
    </row>
    <row r="6" spans="1:8" ht="38.25" customHeight="1">
      <c r="H6" s="95" t="str">
        <f ca="1">'ממיר תאריך עברי ללועזי'!L1</f>
        <v>אחד וארבעים יום שהם חמישה שבועות ושישה ימים</v>
      </c>
    </row>
    <row r="13" spans="1:8" ht="16.5">
      <c r="C13" s="100" t="str">
        <f ca="1">גיליון4!Q3</f>
        <v/>
      </c>
    </row>
    <row r="14" spans="1:8" ht="16.5">
      <c r="C14" s="100" t="str">
        <f>VLOOKUP("פרשת השבוע: *",גיליון1!A:A,1,FALSE)</f>
        <v>פרשת השבוע: בחוקותי</v>
      </c>
    </row>
    <row r="15" spans="1:8" ht="15">
      <c r="C15" s="143" t="str">
        <f ca="1">E15</f>
        <v>יום שישי, כו אייר תשעח</v>
      </c>
      <c r="D15" s="109" t="str">
        <f ca="1">'ממיר תאריך עברי ללועזי'!L2&amp;", "&amp;'ממיר תאריך עברי ללועזי'!C3</f>
        <v>יום שישי, כו אייר תשעח</v>
      </c>
      <c r="E15" s="110" t="str">
        <f ca="1">$D$15</f>
        <v>יום שישי, כו אייר תשעח</v>
      </c>
      <c r="F15" s="111" t="str">
        <f t="shared" ref="F15:G16" ca="1" si="0">D15</f>
        <v>יום שישי, כו אייר תשעח</v>
      </c>
      <c r="G15" s="119" t="str">
        <f t="shared" ca="1" si="0"/>
        <v>יום שישי, כו אייר תשעח</v>
      </c>
      <c r="H15" s="137" t="str">
        <f t="shared" ref="H15:H16" ca="1" si="1">E15</f>
        <v>יום שישי, כו אייר תשעח</v>
      </c>
    </row>
    <row r="16" spans="1:8" ht="15">
      <c r="C16" s="144">
        <f ca="1">E16</f>
        <v>43231</v>
      </c>
      <c r="D16" s="112">
        <f ca="1">TODAY()</f>
        <v>43231</v>
      </c>
      <c r="E16" s="113">
        <f ca="1">$D$16</f>
        <v>43231</v>
      </c>
      <c r="F16" s="114">
        <f t="shared" ca="1" si="0"/>
        <v>43231</v>
      </c>
      <c r="G16" s="120">
        <f t="shared" ca="1" si="0"/>
        <v>43231</v>
      </c>
      <c r="H16" s="138">
        <f t="shared" ca="1" si="1"/>
        <v>43231</v>
      </c>
    </row>
    <row r="18" spans="5:6">
      <c r="E18" s="96"/>
      <c r="F18" s="97"/>
    </row>
    <row r="19" spans="5:6">
      <c r="E19" s="96"/>
      <c r="F19" s="97"/>
    </row>
    <row r="20" spans="5:6">
      <c r="E20" s="96"/>
      <c r="F20" s="97"/>
    </row>
    <row r="21" spans="5:6">
      <c r="E21" s="96"/>
      <c r="F21" s="97"/>
    </row>
    <row r="22" spans="5:6">
      <c r="E22" s="96"/>
      <c r="F22" s="97"/>
    </row>
    <row r="23" spans="5:6">
      <c r="E23" s="96"/>
      <c r="F23" s="97"/>
    </row>
    <row r="24" spans="5:6">
      <c r="E24" s="96"/>
      <c r="F24" s="97"/>
    </row>
    <row r="25" spans="5:6">
      <c r="E25" s="96"/>
      <c r="F25" s="97"/>
    </row>
    <row r="26" spans="5:6">
      <c r="E26" s="96"/>
      <c r="F26" s="97"/>
    </row>
    <row r="27" spans="5:6">
      <c r="E27" s="96"/>
      <c r="F27" s="97"/>
    </row>
    <row r="28" spans="5:6">
      <c r="E28" s="96"/>
      <c r="F28" s="97"/>
    </row>
    <row r="29" spans="5:6">
      <c r="E29" s="96"/>
      <c r="F29" s="97"/>
    </row>
    <row r="30" spans="5:6">
      <c r="E30" s="96"/>
      <c r="F30" s="97"/>
    </row>
    <row r="31" spans="5:6">
      <c r="E31" s="96"/>
      <c r="F31" s="97"/>
    </row>
    <row r="32" spans="5:6">
      <c r="E32" s="96"/>
      <c r="F32" s="97"/>
    </row>
    <row r="33" spans="5:7">
      <c r="E33" s="96"/>
      <c r="F33" s="97"/>
    </row>
    <row r="34" spans="5:7">
      <c r="E34" s="96"/>
    </row>
    <row r="35" spans="5:7">
      <c r="E35" s="96"/>
    </row>
    <row r="36" spans="5:7">
      <c r="E36" s="96"/>
      <c r="F36" s="97"/>
    </row>
    <row r="37" spans="5:7">
      <c r="F37" s="97"/>
    </row>
    <row r="41" spans="5:7" ht="15">
      <c r="G41" s="98"/>
    </row>
    <row r="43" spans="5:7">
      <c r="F43" s="99"/>
    </row>
    <row r="44" spans="5:7">
      <c r="F44" s="99"/>
    </row>
    <row r="45" spans="5:7">
      <c r="F45" s="99"/>
    </row>
    <row r="46" spans="5:7">
      <c r="F46" s="99"/>
    </row>
    <row r="49" spans="7:7">
      <c r="G49" s="97"/>
    </row>
    <row r="50" spans="7:7">
      <c r="G50" s="97"/>
    </row>
    <row r="51" spans="7:7">
      <c r="G51" s="97"/>
    </row>
    <row r="52" spans="7:7">
      <c r="G52" s="97"/>
    </row>
    <row r="53" spans="7:7">
      <c r="G53" s="97"/>
    </row>
    <row r="54" spans="7:7">
      <c r="G54" s="97"/>
    </row>
    <row r="55" spans="7:7">
      <c r="G55" s="97"/>
    </row>
    <row r="56" spans="7:7">
      <c r="G56" s="97"/>
    </row>
    <row r="57" spans="7:7">
      <c r="G57" s="97"/>
    </row>
    <row r="58" spans="7:7">
      <c r="G58" s="97"/>
    </row>
    <row r="59" spans="7:7">
      <c r="G59" s="97"/>
    </row>
    <row r="60" spans="7:7">
      <c r="G60" s="97"/>
    </row>
    <row r="61" spans="7:7">
      <c r="G61" s="97"/>
    </row>
    <row r="62" spans="7:7">
      <c r="G62" s="97"/>
    </row>
    <row r="63" spans="7:7">
      <c r="G63" s="97"/>
    </row>
    <row r="64" spans="7:7">
      <c r="G64" s="97"/>
    </row>
    <row r="65" spans="7:7">
      <c r="G65" s="97"/>
    </row>
    <row r="111" spans="6:6">
      <c r="F111" s="97"/>
    </row>
    <row r="112" spans="6:6">
      <c r="F112" s="97"/>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גיליון1"/>
  <dimension ref="A1:L421"/>
  <sheetViews>
    <sheetView rightToLeft="1" topLeftCell="A293" zoomScaleNormal="100" workbookViewId="0">
      <selection activeCell="D306" sqref="D306"/>
    </sheetView>
  </sheetViews>
  <sheetFormatPr defaultRowHeight="14.25"/>
  <cols>
    <col min="1" max="1" width="9" style="101"/>
    <col min="2" max="2" width="13" customWidth="1"/>
    <col min="3" max="3" width="9" customWidth="1"/>
    <col min="4" max="4" width="8.75" customWidth="1"/>
    <col min="5" max="5" width="15.625" customWidth="1"/>
    <col min="6" max="6" width="11.25" customWidth="1"/>
    <col min="7" max="7" width="11" customWidth="1"/>
    <col min="8" max="8" width="17.75" customWidth="1"/>
    <col min="9" max="9" width="17.25" customWidth="1"/>
    <col min="10" max="10" width="14.75" bestFit="1" customWidth="1"/>
    <col min="12" max="12" width="8.75" style="101"/>
    <col min="14" max="14" width="10.5" bestFit="1" customWidth="1"/>
  </cols>
  <sheetData>
    <row r="1" spans="1:12" s="101" customFormat="1">
      <c r="A1" s="103" t="s">
        <v>893</v>
      </c>
      <c r="B1" s="103" t="s">
        <v>898</v>
      </c>
      <c r="C1" s="103" t="s">
        <v>10</v>
      </c>
      <c r="D1" s="103" t="s">
        <v>930</v>
      </c>
      <c r="E1" s="103" t="s">
        <v>895</v>
      </c>
      <c r="F1" s="103" t="s">
        <v>71</v>
      </c>
      <c r="G1" s="103" t="s">
        <v>896</v>
      </c>
      <c r="H1" s="103" t="s">
        <v>897</v>
      </c>
      <c r="I1" s="103" t="s">
        <v>1102</v>
      </c>
      <c r="J1" s="103" t="s">
        <v>894</v>
      </c>
      <c r="K1" s="103"/>
      <c r="L1" s="103" t="s">
        <v>893</v>
      </c>
    </row>
    <row r="2" spans="1:12">
      <c r="A2" s="106" t="s">
        <v>537</v>
      </c>
      <c r="B2" s="105" t="s">
        <v>297</v>
      </c>
      <c r="C2" s="101" t="b">
        <f ca="1">OR(AND(ISNUMBER(SEARCH(B1,H2)),G2&gt;F2),(AND(ISNUMBER(SEARCH(B2,H2)),G2&lt;F2)))</f>
        <v>0</v>
      </c>
      <c r="D2" s="103" t="s">
        <v>931</v>
      </c>
      <c r="E2" t="str">
        <f ca="1">IF(ISNA(VLOOKUP(B2,I3:I9,1,FALSE)), "FALSE", "TRUE")</f>
        <v>FALSE</v>
      </c>
      <c r="F2" s="104">
        <f>גיליון2!$C$13</f>
        <v>0.81111111111111101</v>
      </c>
      <c r="G2" s="104">
        <f ca="1">NOW()-TODAY()</f>
        <v>0.34855243055790197</v>
      </c>
      <c r="H2" s="103" t="str">
        <f ca="1">TEXT(TODAY(),"[$-he-IL,8]mmmm dd;@")</f>
        <v>אייר 26</v>
      </c>
      <c r="I2" s="102">
        <f ca="1">TODAY()-WEEKDAY(TODAY())+1</f>
        <v>43226</v>
      </c>
      <c r="J2" s="103" t="s">
        <v>899</v>
      </c>
      <c r="L2" s="106" t="s">
        <v>537</v>
      </c>
    </row>
    <row r="3" spans="1:12">
      <c r="A3" s="101" t="s">
        <v>539</v>
      </c>
      <c r="B3" s="105" t="s">
        <v>298</v>
      </c>
      <c r="C3" s="101" t="b">
        <f ca="1">OR(AND(ISNUMBER(SEARCH(B2,H2)),G2&gt;F2),(AND(ISNUMBER(SEARCH(B3,H2)),G2&lt;F2)))</f>
        <v>0</v>
      </c>
      <c r="D3" s="103" t="s">
        <v>931</v>
      </c>
      <c r="E3" s="101" t="str">
        <f ca="1">IF(ISNA(VLOOKUP(B3,I3:I9,1,FALSE)), "FALSE", "TRUE")</f>
        <v>FALSE</v>
      </c>
      <c r="H3" s="105" t="s">
        <v>943</v>
      </c>
      <c r="I3" s="127" t="str">
        <f ca="1">TEXT(I2,"[$-he-IL,8]mmmm dd;@")</f>
        <v>אייר 21</v>
      </c>
      <c r="J3" s="103" t="s">
        <v>899</v>
      </c>
      <c r="L3" s="101" t="s">
        <v>539</v>
      </c>
    </row>
    <row r="4" spans="1:12">
      <c r="A4" s="101" t="s">
        <v>540</v>
      </c>
      <c r="B4" s="105" t="s">
        <v>299</v>
      </c>
      <c r="C4" s="101" t="b">
        <f ca="1">OR(AND(ISNUMBER(SEARCH(B3,H2)),G2&gt;F2),(AND(ISNUMBER(SEARCH(B4,H2)),G2&lt;F2)))</f>
        <v>0</v>
      </c>
      <c r="E4" s="101" t="str">
        <f ca="1">IF(ISNA(VLOOKUP(B4,I3:I9,1,FALSE)), "FALSE", "TRUE")</f>
        <v>FALSE</v>
      </c>
      <c r="G4" s="103" t="s">
        <v>1118</v>
      </c>
      <c r="H4">
        <f ca="1">IFERROR(VLOOKUP("TRUE",G11:I13,3,FALSE),VLOOKUP(TRUE,C:D,2,FALSE))</f>
        <v>0</v>
      </c>
      <c r="I4" s="102" t="str">
        <f ca="1">TEXT(I2+1,"[$-he-IL,8]mmmm dd;@")</f>
        <v>אייר 22</v>
      </c>
      <c r="L4" s="101" t="s">
        <v>540</v>
      </c>
    </row>
    <row r="5" spans="1:12">
      <c r="A5" s="101" t="s">
        <v>541</v>
      </c>
      <c r="B5" s="105" t="s">
        <v>300</v>
      </c>
      <c r="C5" s="101" t="b">
        <f ca="1">OR(AND(ISNUMBER(SEARCH(B4,H2)),G2&gt;F2),(AND(ISNUMBER(SEARCH(B5,H2)),G2&lt;F2)))</f>
        <v>0</v>
      </c>
      <c r="E5" s="101" t="str">
        <f ca="1">IF(ISNA(VLOOKUP(B5,I3:I9,1,FALSE)), "FALSE", "TRUE")</f>
        <v>FALSE</v>
      </c>
      <c r="G5" s="103" t="s">
        <v>1119</v>
      </c>
      <c r="H5">
        <f ca="1">IFERROR(VLOOKUP(TRUE,C:J,8,FALSE),"")</f>
        <v>0</v>
      </c>
      <c r="I5" s="102" t="str">
        <f ca="1">TEXT(I2+2,"[$-he-IL,8]mmmm dd;@")</f>
        <v>אייר 23</v>
      </c>
      <c r="L5" s="101" t="s">
        <v>541</v>
      </c>
    </row>
    <row r="6" spans="1:12">
      <c r="A6" s="101" t="s">
        <v>542</v>
      </c>
      <c r="B6" s="105" t="s">
        <v>301</v>
      </c>
      <c r="C6" s="101" t="b">
        <f ca="1">OR(AND(ISNUMBER(SEARCH(B5,H2)),G2&gt;F2),(AND(ISNUMBER(SEARCH(B6,H2)),G2&lt;F2)))</f>
        <v>0</v>
      </c>
      <c r="E6" s="101" t="str">
        <f ca="1">IF(ISNA(VLOOKUP(B6,I3:I9,1,FALSE)), "FALSE", "TRUE")</f>
        <v>FALSE</v>
      </c>
      <c r="I6" s="102" t="str">
        <f ca="1">TEXT(I2+3,"[$-he-IL,8]mmmm dd;@")</f>
        <v>אייר 24</v>
      </c>
      <c r="L6" s="101" t="s">
        <v>542</v>
      </c>
    </row>
    <row r="7" spans="1:12">
      <c r="A7" s="101" t="s">
        <v>543</v>
      </c>
      <c r="B7" s="105" t="s">
        <v>302</v>
      </c>
      <c r="C7" s="101" t="b">
        <f ca="1">OR(AND(ISNUMBER(SEARCH(B6,H2)),G2&gt;F2),(AND(ISNUMBER(SEARCH(B7,H2)),G2&lt;F2)))</f>
        <v>0</v>
      </c>
      <c r="E7" s="101" t="str">
        <f ca="1">IF(ISNA(VLOOKUP(B7,I3:I9,1,FALSE)), "FALSE", "TRUE")</f>
        <v>FALSE</v>
      </c>
      <c r="I7" s="102" t="str">
        <f ca="1">TEXT(I2+4,"[$-he-IL,8]mmmm dd;@")</f>
        <v>אייר 25</v>
      </c>
      <c r="J7" s="141"/>
      <c r="L7" s="101" t="s">
        <v>543</v>
      </c>
    </row>
    <row r="8" spans="1:12">
      <c r="A8" s="101" t="s">
        <v>544</v>
      </c>
      <c r="B8" s="105" t="s">
        <v>303</v>
      </c>
      <c r="C8" s="101" t="b">
        <f ca="1">OR(AND(ISNUMBER(SEARCH(B7,H2)),G2&gt;F2),(AND(ISNUMBER(SEARCH(B8,H2)),G2&lt;F2)))</f>
        <v>0</v>
      </c>
      <c r="E8" s="101" t="str">
        <f ca="1">IF(ISNA(VLOOKUP(B8,I3:I9,1,FALSE)), "FALSE", "TRUE")</f>
        <v>FALSE</v>
      </c>
      <c r="I8" s="102" t="str">
        <f ca="1">TEXT(I2+5,"[$-he-IL,8]mmmm dd;@")</f>
        <v>אייר 26</v>
      </c>
      <c r="L8" s="101" t="s">
        <v>544</v>
      </c>
    </row>
    <row r="9" spans="1:12">
      <c r="A9" s="101" t="s">
        <v>545</v>
      </c>
      <c r="B9" s="105" t="s">
        <v>304</v>
      </c>
      <c r="C9" s="101" t="b">
        <f ca="1">OR(AND(ISNUMBER(SEARCH(B8,H2)),G2&gt;F2),(AND(ISNUMBER(SEARCH(B9,H2)),G2&lt;F2)))</f>
        <v>0</v>
      </c>
      <c r="E9" s="101" t="str">
        <f ca="1">IF(ISNA(VLOOKUP(B9,I3:I9,1,FALSE)), "FALSE", "TRUE")</f>
        <v>FALSE</v>
      </c>
      <c r="I9" s="102" t="str">
        <f ca="1">TEXT(I2+6,"[$-he-IL,8]mmmm dd;@")</f>
        <v>אייר 27</v>
      </c>
      <c r="L9" s="101" t="s">
        <v>545</v>
      </c>
    </row>
    <row r="10" spans="1:12">
      <c r="A10" s="101" t="s">
        <v>546</v>
      </c>
      <c r="B10" s="105" t="s">
        <v>305</v>
      </c>
      <c r="C10" s="101" t="b">
        <f ca="1">OR(AND(ISNUMBER(SEARCH(B9,H2)),G2&gt;F2),(AND(ISNUMBER(SEARCH(B10,H2)),G2&lt;F2)))</f>
        <v>0</v>
      </c>
      <c r="D10" s="103" t="s">
        <v>932</v>
      </c>
      <c r="E10" s="101" t="str">
        <f ca="1">IF(ISNA(VLOOKUP(B10,I3:I9,1,FALSE)), "FALSE", "TRUE")</f>
        <v>FALSE</v>
      </c>
      <c r="J10" s="103" t="s">
        <v>901</v>
      </c>
      <c r="L10" s="101" t="s">
        <v>546</v>
      </c>
    </row>
    <row r="11" spans="1:12">
      <c r="A11" s="101" t="s">
        <v>547</v>
      </c>
      <c r="B11" s="105" t="s">
        <v>306</v>
      </c>
      <c r="C11" s="101" t="b">
        <f ca="1">OR(AND(ISNUMBER(SEARCH(B10,H2)),G2&gt;F2),(AND(ISNUMBER(SEARCH(B11,H2)),G2&lt;F2)))</f>
        <v>0</v>
      </c>
      <c r="D11" s="103" t="s">
        <v>932</v>
      </c>
      <c r="E11" s="101" t="str">
        <f ca="1">IF(ISNA(VLOOKUP(B11,I3:I9,1,FALSE)), "FALSE", "TRUE")</f>
        <v>FALSE</v>
      </c>
      <c r="F11" s="105"/>
      <c r="G11" s="103" t="str">
        <f ca="1">IF(ISNUMBER(SEARCH("העצמאות",גיליון2!A10)),"TRUE","FALSE")</f>
        <v>FALSE</v>
      </c>
      <c r="H11" s="103" t="s">
        <v>1124</v>
      </c>
      <c r="I11" s="103" t="s">
        <v>1121</v>
      </c>
      <c r="J11" s="103" t="s">
        <v>900</v>
      </c>
      <c r="L11" s="101" t="s">
        <v>547</v>
      </c>
    </row>
    <row r="12" spans="1:12">
      <c r="A12" s="101" t="s">
        <v>548</v>
      </c>
      <c r="B12" s="105" t="s">
        <v>307</v>
      </c>
      <c r="C12" s="101" t="b">
        <f ca="1">OR(AND(ISNUMBER(SEARCH(B11,H2)),G2&gt;F2),(AND(ISNUMBER(SEARCH(B12,H2)),G2&lt;F2)))</f>
        <v>0</v>
      </c>
      <c r="E12" s="101" t="str">
        <f ca="1">IF(ISNA(VLOOKUP(B12,I3:I9,1,FALSE)), "FALSE", "TRUE")</f>
        <v>FALSE</v>
      </c>
      <c r="F12" s="105"/>
      <c r="G12" s="103" t="str">
        <f ca="1">IF(ISNUMBER(SEARCH("תשעה",גיליון2!A10)),"TRUE","FALSE")</f>
        <v>FALSE</v>
      </c>
      <c r="H12" s="103" t="s">
        <v>1125</v>
      </c>
      <c r="I12" s="103" t="s">
        <v>1122</v>
      </c>
      <c r="L12" s="101" t="s">
        <v>548</v>
      </c>
    </row>
    <row r="13" spans="1:12">
      <c r="A13" s="101" t="s">
        <v>549</v>
      </c>
      <c r="B13" s="105" t="s">
        <v>308</v>
      </c>
      <c r="C13" s="101" t="b">
        <f ca="1">OR(AND(ISNUMBER(SEARCH(B12,H2)),G2&gt;F2),(AND(ISNUMBER(SEARCH(B13,H2)),G2&lt;F2)))</f>
        <v>0</v>
      </c>
      <c r="E13" s="101" t="str">
        <f ca="1">IF(ISNA(VLOOKUP(B13,I3:I9,1,FALSE)), "FALSE", "TRUE")</f>
        <v>FALSE</v>
      </c>
      <c r="F13" s="105"/>
      <c r="G13" s="103" t="str">
        <f ca="1">IF(ISNUMBER(SEARCH("צום",גיליון2!A10)),"TRUE","FALSE")</f>
        <v>FALSE</v>
      </c>
      <c r="H13" s="103" t="s">
        <v>1120</v>
      </c>
      <c r="I13" s="103" t="s">
        <v>1123</v>
      </c>
      <c r="L13" s="101" t="s">
        <v>549</v>
      </c>
    </row>
    <row r="14" spans="1:12">
      <c r="A14" s="101" t="s">
        <v>550</v>
      </c>
      <c r="B14" s="105" t="s">
        <v>309</v>
      </c>
      <c r="C14" s="101" t="b">
        <f ca="1">OR(AND(ISNUMBER(SEARCH(B13,H2)),G2&gt;F2),(AND(ISNUMBER(SEARCH(B14,H2)),G2&lt;F2)))</f>
        <v>0</v>
      </c>
      <c r="E14" s="101" t="str">
        <f ca="1">IF(ISNA(VLOOKUP(B14,I3:I9,1,FALSE)), "FALSE", "TRUE")</f>
        <v>FALSE</v>
      </c>
      <c r="F14" s="105"/>
      <c r="L14" s="101" t="s">
        <v>550</v>
      </c>
    </row>
    <row r="15" spans="1:12">
      <c r="A15" s="101" t="s">
        <v>551</v>
      </c>
      <c r="B15" s="105" t="s">
        <v>310</v>
      </c>
      <c r="C15" s="101" t="b">
        <f ca="1">OR(AND(ISNUMBER(SEARCH(B14,H2)),G2&gt;F2),(AND(ISNUMBER(SEARCH(B15,H2)),G2&lt;F2)))</f>
        <v>0</v>
      </c>
      <c r="D15" s="103" t="s">
        <v>933</v>
      </c>
      <c r="E15" s="101" t="str">
        <f ca="1">IF(ISNA(VLOOKUP(B15,I3:I9,1,FALSE)), "FALSE", "TRUE")</f>
        <v>FALSE</v>
      </c>
      <c r="F15" s="105"/>
      <c r="J15" s="103" t="s">
        <v>902</v>
      </c>
      <c r="L15" s="101" t="s">
        <v>551</v>
      </c>
    </row>
    <row r="16" spans="1:12">
      <c r="A16" s="101" t="s">
        <v>552</v>
      </c>
      <c r="B16" s="105" t="s">
        <v>311</v>
      </c>
      <c r="C16" s="101" t="b">
        <f ca="1">OR(AND(ISNUMBER(SEARCH(B15,H2)),G2&gt;F2),(AND(ISNUMBER(SEARCH(B16,H2)),G2&lt;F2)))</f>
        <v>0</v>
      </c>
      <c r="D16" s="103" t="s">
        <v>933</v>
      </c>
      <c r="E16" s="101" t="str">
        <f ca="1">IF(ISNA(VLOOKUP(B16,I3:I9,1,FALSE)), "FALSE", "TRUE")</f>
        <v>FALSE</v>
      </c>
      <c r="F16" s="105"/>
      <c r="J16" s="103" t="s">
        <v>903</v>
      </c>
      <c r="L16" s="101" t="s">
        <v>552</v>
      </c>
    </row>
    <row r="17" spans="1:12">
      <c r="A17" s="101" t="s">
        <v>553</v>
      </c>
      <c r="B17" s="105" t="s">
        <v>312</v>
      </c>
      <c r="C17" s="101" t="b">
        <f ca="1">OR(AND(ISNUMBER(SEARCH(B16,H2)),G2&gt;F2),(AND(ISNUMBER(SEARCH(B17,H2)),G2&lt;F2)))</f>
        <v>0</v>
      </c>
      <c r="D17" s="103" t="s">
        <v>933</v>
      </c>
      <c r="E17" s="101" t="str">
        <f ca="1">IF(ISNA(VLOOKUP(B17,I3:I9,1,FALSE)), "FALSE", "TRUE")</f>
        <v>FALSE</v>
      </c>
      <c r="F17" s="105"/>
      <c r="I17" s="107"/>
      <c r="J17" s="103" t="s">
        <v>904</v>
      </c>
      <c r="L17" s="101" t="s">
        <v>553</v>
      </c>
    </row>
    <row r="18" spans="1:12">
      <c r="A18" s="101" t="s">
        <v>554</v>
      </c>
      <c r="B18" s="105" t="s">
        <v>313</v>
      </c>
      <c r="C18" s="101" t="b">
        <f ca="1">OR(AND(ISNUMBER(SEARCH(B17,H2)),G2&gt;F2),(AND(ISNUMBER(SEARCH(B18,H2)),G2&lt;F2)))</f>
        <v>0</v>
      </c>
      <c r="D18" s="103" t="s">
        <v>933</v>
      </c>
      <c r="E18" s="101" t="str">
        <f ca="1">IF(ISNA(VLOOKUP(B18,I3:I9,1,FALSE)), "FALSE", "TRUE")</f>
        <v>FALSE</v>
      </c>
      <c r="F18" s="105"/>
      <c r="J18" s="103" t="s">
        <v>904</v>
      </c>
      <c r="L18" s="101" t="s">
        <v>554</v>
      </c>
    </row>
    <row r="19" spans="1:12">
      <c r="A19" s="101" t="s">
        <v>555</v>
      </c>
      <c r="B19" s="105" t="s">
        <v>314</v>
      </c>
      <c r="C19" s="101" t="b">
        <f ca="1">OR(AND(ISNUMBER(SEARCH(B18,H2)),G2&gt;F2),(AND(ISNUMBER(SEARCH(B19,H2)),G2&lt;F2)))</f>
        <v>0</v>
      </c>
      <c r="D19" s="103" t="s">
        <v>933</v>
      </c>
      <c r="E19" s="101" t="str">
        <f ca="1">IF(ISNA(VLOOKUP(B19,I3:I9,1,FALSE)), "FALSE", "TRUE")</f>
        <v>FALSE</v>
      </c>
      <c r="I19" s="101"/>
      <c r="J19" s="103" t="s">
        <v>904</v>
      </c>
      <c r="L19" s="101" t="s">
        <v>555</v>
      </c>
    </row>
    <row r="20" spans="1:12">
      <c r="A20" s="101" t="s">
        <v>556</v>
      </c>
      <c r="B20" s="105" t="s">
        <v>315</v>
      </c>
      <c r="C20" s="101" t="b">
        <f ca="1">OR(AND(ISNUMBER(SEARCH(B19,H2)),G2&gt;F2),(AND(ISNUMBER(SEARCH(B20,H2)),G2&lt;F2)))</f>
        <v>0</v>
      </c>
      <c r="D20" s="103" t="s">
        <v>933</v>
      </c>
      <c r="E20" s="101" t="str">
        <f ca="1">IF(ISNA(VLOOKUP(B20,I3:I9,1,FALSE)), "FALSE", "TRUE")</f>
        <v>FALSE</v>
      </c>
      <c r="I20" s="101"/>
      <c r="J20" s="103" t="s">
        <v>904</v>
      </c>
      <c r="L20" s="101" t="s">
        <v>556</v>
      </c>
    </row>
    <row r="21" spans="1:12">
      <c r="A21" s="101" t="s">
        <v>557</v>
      </c>
      <c r="B21" s="105" t="s">
        <v>316</v>
      </c>
      <c r="C21" s="101" t="b">
        <f ca="1">OR(AND(ISNUMBER(SEARCH(B20,H2)),G2&gt;F2),(AND(ISNUMBER(SEARCH(B21,H2)),G2&lt;F2)))</f>
        <v>0</v>
      </c>
      <c r="D21" s="103" t="s">
        <v>933</v>
      </c>
      <c r="E21" s="101" t="str">
        <f ca="1">IF(ISNA(VLOOKUP(B21,I3:I9,1,FALSE)), "FALSE", "TRUE")</f>
        <v>FALSE</v>
      </c>
      <c r="I21" s="101"/>
      <c r="J21" s="103" t="s">
        <v>904</v>
      </c>
      <c r="L21" s="101" t="s">
        <v>557</v>
      </c>
    </row>
    <row r="22" spans="1:12">
      <c r="A22" s="101" t="s">
        <v>558</v>
      </c>
      <c r="B22" s="105" t="s">
        <v>317</v>
      </c>
      <c r="C22" s="101" t="b">
        <f ca="1">OR(AND(ISNUMBER(SEARCH(B21,H2)),G2&gt;F2),(AND(ISNUMBER(SEARCH(B22,H2)),G2&lt;F2)))</f>
        <v>0</v>
      </c>
      <c r="D22" s="103" t="s">
        <v>934</v>
      </c>
      <c r="E22" s="101" t="str">
        <f ca="1">IF(ISNA(VLOOKUP(B22,I3:I9,1,FALSE)), "FALSE", "TRUE")</f>
        <v>FALSE</v>
      </c>
      <c r="I22" s="101"/>
      <c r="J22" s="103" t="s">
        <v>905</v>
      </c>
      <c r="L22" s="101" t="s">
        <v>558</v>
      </c>
    </row>
    <row r="23" spans="1:12">
      <c r="A23" s="101" t="s">
        <v>559</v>
      </c>
      <c r="B23" s="105" t="s">
        <v>318</v>
      </c>
      <c r="C23" s="101" t="b">
        <f ca="1">OR(AND(ISNUMBER(SEARCH(B22,H2)),G2&gt;F2),(AND(ISNUMBER(SEARCH(B23,H2)),G2&lt;F2)))</f>
        <v>0</v>
      </c>
      <c r="D23" s="103" t="s">
        <v>934</v>
      </c>
      <c r="E23" s="101" t="str">
        <f ca="1">IF(ISNA(VLOOKUP(B23,I3:I9,1,FALSE)), "FALSE", "TRUE")</f>
        <v>FALSE</v>
      </c>
      <c r="I23" s="101"/>
      <c r="J23" s="103" t="s">
        <v>906</v>
      </c>
      <c r="L23" s="101" t="s">
        <v>559</v>
      </c>
    </row>
    <row r="24" spans="1:12">
      <c r="A24" s="101" t="s">
        <v>560</v>
      </c>
      <c r="B24" s="105" t="s">
        <v>319</v>
      </c>
      <c r="C24" s="101" t="b">
        <f ca="1">OR(AND(ISNUMBER(SEARCH(B23,H2)),G2&gt;F2),(AND(ISNUMBER(SEARCH(B24,H2)),G2&lt;F2)))</f>
        <v>0</v>
      </c>
      <c r="E24" s="101" t="str">
        <f ca="1">IF(ISNA(VLOOKUP(B24,I3:I9,1,FALSE)), "FALSE", "TRUE")</f>
        <v>FALSE</v>
      </c>
      <c r="I24" s="101"/>
      <c r="L24" s="101" t="s">
        <v>560</v>
      </c>
    </row>
    <row r="25" spans="1:12">
      <c r="A25" s="101" t="s">
        <v>561</v>
      </c>
      <c r="B25" s="105" t="s">
        <v>320</v>
      </c>
      <c r="C25" s="101" t="b">
        <f ca="1">OR(AND(ISNUMBER(SEARCH(B24,H2)),G2&gt;F2),(AND(ISNUMBER(SEARCH(B25,H2)),G2&lt;F2)))</f>
        <v>0</v>
      </c>
      <c r="E25" s="101" t="str">
        <f ca="1">IF(ISNA(VLOOKUP(B25,I3:I9,1,FALSE)), "FALSE", "TRUE")</f>
        <v>FALSE</v>
      </c>
      <c r="L25" s="101" t="s">
        <v>561</v>
      </c>
    </row>
    <row r="26" spans="1:12">
      <c r="A26" s="101" t="s">
        <v>562</v>
      </c>
      <c r="B26" s="105" t="s">
        <v>321</v>
      </c>
      <c r="C26" s="101" t="b">
        <f ca="1">OR(AND(ISNUMBER(SEARCH(B25,H2)),G2&gt;F2),(AND(ISNUMBER(SEARCH(B26,H2)),G2&lt;F2)))</f>
        <v>0</v>
      </c>
      <c r="E26" s="101" t="str">
        <f ca="1">IF(ISNA(VLOOKUP(B26,I3:I9,1,FALSE)), "FALSE", "TRUE")</f>
        <v>FALSE</v>
      </c>
      <c r="L26" s="101" t="s">
        <v>562</v>
      </c>
    </row>
    <row r="27" spans="1:12">
      <c r="A27" s="101" t="s">
        <v>563</v>
      </c>
      <c r="B27" s="105" t="s">
        <v>322</v>
      </c>
      <c r="C27" s="101" t="b">
        <f ca="1">OR(AND(ISNUMBER(SEARCH(B26,H2)),G2&gt;F2),(AND(ISNUMBER(SEARCH(B27,H2)),G2&lt;F2)))</f>
        <v>0</v>
      </c>
      <c r="E27" s="101" t="str">
        <f ca="1">IF(ISNA(VLOOKUP(B27,I3:I9,1,FALSE)), "FALSE", "TRUE")</f>
        <v>FALSE</v>
      </c>
      <c r="L27" s="101" t="s">
        <v>563</v>
      </c>
    </row>
    <row r="28" spans="1:12">
      <c r="A28" s="101" t="s">
        <v>564</v>
      </c>
      <c r="B28" s="105" t="s">
        <v>323</v>
      </c>
      <c r="C28" s="101" t="b">
        <f ca="1">OR(AND(ISNUMBER(SEARCH(B27,H2)),G2&gt;F2),(AND(ISNUMBER(SEARCH(B28,H2)),G2&lt;F2)))</f>
        <v>0</v>
      </c>
      <c r="E28" s="101" t="str">
        <f ca="1">IF(ISNA(VLOOKUP(B28,I3:I9,1,FALSE)), "FALSE", "TRUE")</f>
        <v>FALSE</v>
      </c>
      <c r="L28" s="101" t="s">
        <v>564</v>
      </c>
    </row>
    <row r="29" spans="1:12">
      <c r="A29" s="101" t="s">
        <v>565</v>
      </c>
      <c r="B29" s="105" t="s">
        <v>324</v>
      </c>
      <c r="C29" s="101" t="b">
        <f ca="1">OR(AND(ISNUMBER(SEARCH(B28,H2)),G2&gt;F2),(AND(ISNUMBER(SEARCH(B29,H2)),G2&lt;F2)))</f>
        <v>0</v>
      </c>
      <c r="E29" s="101" t="str">
        <f ca="1">IF(ISNA(VLOOKUP(B29,I3:I9,1,FALSE)), "FALSE", "TRUE")</f>
        <v>FALSE</v>
      </c>
      <c r="L29" s="101" t="s">
        <v>565</v>
      </c>
    </row>
    <row r="30" spans="1:12">
      <c r="A30" s="101" t="s">
        <v>566</v>
      </c>
      <c r="B30" s="105" t="s">
        <v>325</v>
      </c>
      <c r="C30" s="101" t="b">
        <f ca="1">OR(AND(ISNUMBER(SEARCH(B29,H2)),G2&gt;F2),(AND(ISNUMBER(SEARCH(B30,H2)),G2&lt;F2)))</f>
        <v>0</v>
      </c>
      <c r="E30" s="101" t="str">
        <f ca="1">IF(ISNA(VLOOKUP(B30,I3:I9,1,FALSE)), "FALSE", "TRUE")</f>
        <v>FALSE</v>
      </c>
      <c r="L30" s="101" t="s">
        <v>566</v>
      </c>
    </row>
    <row r="31" spans="1:12">
      <c r="A31" s="101" t="s">
        <v>567</v>
      </c>
      <c r="B31" s="105" t="s">
        <v>326</v>
      </c>
      <c r="C31" s="101" t="b">
        <f ca="1">OR(AND(ISNUMBER(SEARCH(B30,H2)),G2&gt;F2),(AND(ISNUMBER(SEARCH(B31,H2)),G2&lt;F2)))</f>
        <v>0</v>
      </c>
      <c r="E31" s="101" t="str">
        <f ca="1">IF(ISNA(VLOOKUP(B31,I3:I9,1,FALSE)), "FALSE", "TRUE")</f>
        <v>FALSE</v>
      </c>
      <c r="L31" s="101" t="s">
        <v>567</v>
      </c>
    </row>
    <row r="32" spans="1:12">
      <c r="A32" s="101" t="s">
        <v>538</v>
      </c>
      <c r="B32" s="103" t="s">
        <v>178</v>
      </c>
      <c r="C32" s="101" t="b">
        <f ca="1">OR(AND(ISNUMBER(SEARCH(B31,H2)),G2&gt;F2),(AND(ISNUMBER(SEARCH(B32,H2)),G2&lt;F2)))</f>
        <v>0</v>
      </c>
      <c r="E32" s="101" t="str">
        <f ca="1">IF(ISNA(VLOOKUP(B32,I3:I9,1,FALSE)), "FALSE", "TRUE")</f>
        <v>FALSE</v>
      </c>
      <c r="L32" s="101" t="s">
        <v>538</v>
      </c>
    </row>
    <row r="33" spans="1:12">
      <c r="A33" s="101" t="s">
        <v>568</v>
      </c>
      <c r="B33" s="103" t="s">
        <v>179</v>
      </c>
      <c r="C33" s="101" t="b">
        <f ca="1">OR(AND(ISNUMBER(SEARCH(B32,H2)),G2&gt;F2),(AND(ISNUMBER(SEARCH(B33,H2)),G2&lt;F2)))</f>
        <v>0</v>
      </c>
      <c r="E33" s="101" t="str">
        <f ca="1">IF(ISNA(VLOOKUP(B33,I3:I9,1,FALSE)), "FALSE", "TRUE")</f>
        <v>FALSE</v>
      </c>
      <c r="L33" s="101" t="s">
        <v>568</v>
      </c>
    </row>
    <row r="34" spans="1:12">
      <c r="A34" s="101" t="s">
        <v>569</v>
      </c>
      <c r="B34" s="103" t="s">
        <v>180</v>
      </c>
      <c r="C34" s="101" t="b">
        <f ca="1">OR(AND(ISNUMBER(SEARCH(B33,H2)),G2&gt;F2),(AND(ISNUMBER(SEARCH(B34,H2)),G2&lt;F2)))</f>
        <v>0</v>
      </c>
      <c r="E34" s="101" t="str">
        <f ca="1">IF(ISNA(VLOOKUP(B34,I3:I9,1,FALSE)), "FALSE", "TRUE")</f>
        <v>FALSE</v>
      </c>
      <c r="L34" s="101" t="s">
        <v>569</v>
      </c>
    </row>
    <row r="35" spans="1:12">
      <c r="A35" s="101" t="s">
        <v>570</v>
      </c>
      <c r="B35" s="103" t="s">
        <v>181</v>
      </c>
      <c r="C35" s="101" t="b">
        <f ca="1">OR(AND(ISNUMBER(SEARCH(B34,H2)),G2&gt;F2),(AND(ISNUMBER(SEARCH(B35,H2)),G2&lt;F2)))</f>
        <v>0</v>
      </c>
      <c r="E35" s="101" t="str">
        <f ca="1">IF(ISNA(VLOOKUP(B35,I3:I9,1,FALSE)), "FALSE", "TRUE")</f>
        <v>FALSE</v>
      </c>
      <c r="L35" s="101" t="s">
        <v>570</v>
      </c>
    </row>
    <row r="36" spans="1:12">
      <c r="A36" s="101" t="s">
        <v>571</v>
      </c>
      <c r="B36" s="103" t="s">
        <v>182</v>
      </c>
      <c r="C36" s="101" t="b">
        <f ca="1">OR(AND(ISNUMBER(SEARCH(B35,H2)),G2&gt;F2),(AND(ISNUMBER(SEARCH(B36,H2)),G2&lt;F2)))</f>
        <v>0</v>
      </c>
      <c r="E36" s="101" t="str">
        <f ca="1">IF(ISNA(VLOOKUP(B36,I3:I9,1,FALSE)), "FALSE", "TRUE")</f>
        <v>FALSE</v>
      </c>
      <c r="L36" s="101" t="s">
        <v>571</v>
      </c>
    </row>
    <row r="37" spans="1:12">
      <c r="A37" s="101" t="s">
        <v>572</v>
      </c>
      <c r="B37" s="103" t="s">
        <v>183</v>
      </c>
      <c r="C37" s="101" t="b">
        <f ca="1">OR(AND(ISNUMBER(SEARCH(B36,H2)),G2&gt;F2),(AND(ISNUMBER(SEARCH(B37,H2)),G2&lt;F2)))</f>
        <v>0</v>
      </c>
      <c r="E37" s="101" t="str">
        <f ca="1">IF(ISNA(VLOOKUP(B37,I3:I9,1,FALSE)), "FALSE", "TRUE")</f>
        <v>FALSE</v>
      </c>
      <c r="L37" s="101" t="s">
        <v>572</v>
      </c>
    </row>
    <row r="38" spans="1:12">
      <c r="A38" s="101" t="s">
        <v>573</v>
      </c>
      <c r="B38" s="103" t="s">
        <v>184</v>
      </c>
      <c r="C38" s="101" t="b">
        <f ca="1">OR(AND(ISNUMBER(SEARCH(B37,H2)),G2&gt;F2),(AND(ISNUMBER(SEARCH(B38,H2)),G2&lt;F2)))</f>
        <v>0</v>
      </c>
      <c r="E38" s="101" t="str">
        <f ca="1">IF(ISNA(VLOOKUP(B38,I3:I9,1,FALSE)), "FALSE", "TRUE")</f>
        <v>FALSE</v>
      </c>
      <c r="L38" s="101" t="s">
        <v>573</v>
      </c>
    </row>
    <row r="39" spans="1:12">
      <c r="A39" s="101" t="s">
        <v>574</v>
      </c>
      <c r="B39" s="103" t="s">
        <v>185</v>
      </c>
      <c r="C39" s="101" t="b">
        <f ca="1">OR(AND(ISNUMBER(SEARCH(B38,H2)),G2&gt;F2),(AND(ISNUMBER(SEARCH(B39,H2)),G2&lt;F2)))</f>
        <v>0</v>
      </c>
      <c r="E39" s="101" t="str">
        <f ca="1">IF(ISNA(VLOOKUP(B39,I3:I9,1,FALSE)), "FALSE", "TRUE")</f>
        <v>FALSE</v>
      </c>
      <c r="L39" s="101" t="s">
        <v>574</v>
      </c>
    </row>
    <row r="40" spans="1:12">
      <c r="A40" s="101" t="s">
        <v>575</v>
      </c>
      <c r="B40" s="103" t="s">
        <v>186</v>
      </c>
      <c r="C40" s="101" t="b">
        <f ca="1">OR(AND(ISNUMBER(SEARCH(B39,H2)),G2&gt;F2),(AND(ISNUMBER(SEARCH(B40,H2)),G2&lt;F2)))</f>
        <v>0</v>
      </c>
      <c r="E40" s="101" t="str">
        <f ca="1">IF(ISNA(VLOOKUP(B40,I3:I9,1,FALSE)), "FALSE", "TRUE")</f>
        <v>FALSE</v>
      </c>
      <c r="L40" s="101" t="s">
        <v>575</v>
      </c>
    </row>
    <row r="41" spans="1:12">
      <c r="A41" s="101" t="s">
        <v>576</v>
      </c>
      <c r="B41" s="103" t="s">
        <v>187</v>
      </c>
      <c r="C41" s="101" t="b">
        <f ca="1">OR(AND(ISNUMBER(SEARCH(B40,H2)),G2&gt;F2),(AND(ISNUMBER(SEARCH(B41,H2)),G2&lt;F2)))</f>
        <v>0</v>
      </c>
      <c r="E41" s="101" t="str">
        <f ca="1">IF(ISNA(VLOOKUP(B41,I3:I9,1,FALSE)), "FALSE", "TRUE")</f>
        <v>FALSE</v>
      </c>
      <c r="L41" s="101" t="s">
        <v>576</v>
      </c>
    </row>
    <row r="42" spans="1:12">
      <c r="A42" s="101" t="s">
        <v>577</v>
      </c>
      <c r="B42" s="103" t="s">
        <v>188</v>
      </c>
      <c r="C42" s="101" t="b">
        <f ca="1">OR(AND(ISNUMBER(SEARCH(B41,H2)),G2&gt;F2),(AND(ISNUMBER(SEARCH(B42,H2)),G2&lt;F2)))</f>
        <v>0</v>
      </c>
      <c r="E42" s="101" t="str">
        <f ca="1">IF(ISNA(VLOOKUP(B42,I3:I9,1,FALSE)), "FALSE", "TRUE")</f>
        <v>FALSE</v>
      </c>
      <c r="L42" s="101" t="s">
        <v>577</v>
      </c>
    </row>
    <row r="43" spans="1:12">
      <c r="A43" s="101" t="s">
        <v>578</v>
      </c>
      <c r="B43" s="103" t="s">
        <v>189</v>
      </c>
      <c r="C43" s="101" t="b">
        <f ca="1">OR(AND(ISNUMBER(SEARCH(B42,H2)),G2&gt;F2),(AND(ISNUMBER(SEARCH(B43,H2)),G2&lt;F2)))</f>
        <v>0</v>
      </c>
      <c r="E43" s="101" t="str">
        <f ca="1">IF(ISNA(VLOOKUP(B43,I3:I9,1,FALSE)), "FALSE", "TRUE")</f>
        <v>FALSE</v>
      </c>
      <c r="L43" s="101" t="s">
        <v>578</v>
      </c>
    </row>
    <row r="44" spans="1:12">
      <c r="A44" s="101" t="s">
        <v>579</v>
      </c>
      <c r="B44" s="103" t="s">
        <v>190</v>
      </c>
      <c r="C44" s="101" t="b">
        <f ca="1">OR(AND(ISNUMBER(SEARCH(B43,H2)),G2&gt;F2),(AND(ISNUMBER(SEARCH(B44,H2)),G2&lt;F2)))</f>
        <v>0</v>
      </c>
      <c r="E44" s="101" t="str">
        <f ca="1">IF(ISNA(VLOOKUP(B44,I3:I9,1,FALSE)), "FALSE", "TRUE")</f>
        <v>FALSE</v>
      </c>
      <c r="L44" s="101" t="s">
        <v>579</v>
      </c>
    </row>
    <row r="45" spans="1:12">
      <c r="A45" s="101" t="s">
        <v>580</v>
      </c>
      <c r="B45" s="103" t="s">
        <v>191</v>
      </c>
      <c r="C45" s="101" t="b">
        <f ca="1">OR(AND(ISNUMBER(SEARCH(B44,H2)),G2&gt;F2),(AND(ISNUMBER(SEARCH(B45,H2)),G2&lt;F2)))</f>
        <v>0</v>
      </c>
      <c r="E45" s="101" t="str">
        <f ca="1">IF(ISNA(VLOOKUP(B45,I3:I9,1,FALSE)), "FALSE", "TRUE")</f>
        <v>FALSE</v>
      </c>
      <c r="L45" s="101" t="s">
        <v>580</v>
      </c>
    </row>
    <row r="46" spans="1:12">
      <c r="A46" s="101" t="s">
        <v>581</v>
      </c>
      <c r="B46" s="103" t="s">
        <v>192</v>
      </c>
      <c r="C46" s="101" t="b">
        <f ca="1">OR(AND(ISNUMBER(SEARCH(B45,H2)),G2&gt;F2),(AND(ISNUMBER(SEARCH(B46,H2)),G2&lt;F2)))</f>
        <v>0</v>
      </c>
      <c r="E46" s="101" t="str">
        <f ca="1">IF(ISNA(VLOOKUP(B46,I3:I9,1,FALSE)), "FALSE", "TRUE")</f>
        <v>FALSE</v>
      </c>
      <c r="L46" s="101" t="s">
        <v>581</v>
      </c>
    </row>
    <row r="47" spans="1:12">
      <c r="A47" s="101" t="s">
        <v>582</v>
      </c>
      <c r="B47" s="103" t="s">
        <v>193</v>
      </c>
      <c r="C47" s="101" t="b">
        <f ca="1">OR(AND(ISNUMBER(SEARCH(B46,H2)),G2&gt;F2),(AND(ISNUMBER(SEARCH(B47,H2)),G2&lt;F2)))</f>
        <v>0</v>
      </c>
      <c r="E47" s="101" t="str">
        <f ca="1">IF(ISNA(VLOOKUP(B47,I3:I9,1,FALSE)), "FALSE", "TRUE")</f>
        <v>FALSE</v>
      </c>
      <c r="L47" s="101" t="s">
        <v>582</v>
      </c>
    </row>
    <row r="48" spans="1:12">
      <c r="A48" s="101" t="s">
        <v>583</v>
      </c>
      <c r="B48" s="103" t="s">
        <v>194</v>
      </c>
      <c r="C48" s="101" t="b">
        <f ca="1">OR(AND(ISNUMBER(SEARCH(B47,H2)),G2&gt;F2),(AND(ISNUMBER(SEARCH(B48,H2)),G2&lt;F2)))</f>
        <v>0</v>
      </c>
      <c r="E48" s="101" t="str">
        <f ca="1">IF(ISNA(VLOOKUP(B48,I3:I9,1,FALSE)), "FALSE", "TRUE")</f>
        <v>FALSE</v>
      </c>
      <c r="L48" s="101" t="s">
        <v>583</v>
      </c>
    </row>
    <row r="49" spans="1:12">
      <c r="A49" s="101" t="s">
        <v>584</v>
      </c>
      <c r="B49" s="103" t="s">
        <v>195</v>
      </c>
      <c r="C49" s="101" t="b">
        <f ca="1">OR(AND(ISNUMBER(SEARCH(B48,H2)),G2&gt;F2),(AND(ISNUMBER(SEARCH(B49,H2)),G2&lt;F2)))</f>
        <v>0</v>
      </c>
      <c r="E49" s="101" t="str">
        <f ca="1">IF(ISNA(VLOOKUP(B49,I3:I9,1,FALSE)), "FALSE", "TRUE")</f>
        <v>FALSE</v>
      </c>
      <c r="L49" s="101" t="s">
        <v>584</v>
      </c>
    </row>
    <row r="50" spans="1:12">
      <c r="A50" s="101" t="s">
        <v>585</v>
      </c>
      <c r="B50" s="103" t="s">
        <v>196</v>
      </c>
      <c r="C50" s="101" t="b">
        <f ca="1">OR(AND(ISNUMBER(SEARCH(B49,H2)),G2&gt;F2),(AND(ISNUMBER(SEARCH(B50,H2)),G2&lt;F2)))</f>
        <v>0</v>
      </c>
      <c r="E50" s="101" t="str">
        <f ca="1">IF(ISNA(VLOOKUP(B50,I3:I9,1,FALSE)), "FALSE", "TRUE")</f>
        <v>FALSE</v>
      </c>
      <c r="L50" s="101" t="s">
        <v>585</v>
      </c>
    </row>
    <row r="51" spans="1:12">
      <c r="A51" s="101" t="s">
        <v>586</v>
      </c>
      <c r="B51" s="103" t="s">
        <v>197</v>
      </c>
      <c r="C51" s="101" t="b">
        <f ca="1">OR(AND(ISNUMBER(SEARCH(B50,H2)),G2&gt;F2),(AND(ISNUMBER(SEARCH(B51,H2)),G2&lt;F2)))</f>
        <v>0</v>
      </c>
      <c r="E51" s="101" t="str">
        <f ca="1">IF(ISNA(VLOOKUP(B51,I3:I9,1,FALSE)), "FALSE", "TRUE")</f>
        <v>FALSE</v>
      </c>
      <c r="L51" s="101" t="s">
        <v>586</v>
      </c>
    </row>
    <row r="52" spans="1:12">
      <c r="A52" s="101" t="s">
        <v>587</v>
      </c>
      <c r="B52" s="103" t="s">
        <v>177</v>
      </c>
      <c r="C52" s="101" t="b">
        <f ca="1">OR(AND(ISNUMBER(SEARCH(B51,H2)),G2&gt;F2),(AND(ISNUMBER(SEARCH(B52,H2)),G2&lt;F2)))</f>
        <v>0</v>
      </c>
      <c r="E52" s="101" t="str">
        <f ca="1">IF(ISNA(VLOOKUP(B52,I3:I9,1,FALSE)), "FALSE", "TRUE")</f>
        <v>FALSE</v>
      </c>
      <c r="L52" s="101" t="s">
        <v>587</v>
      </c>
    </row>
    <row r="53" spans="1:12">
      <c r="A53" s="101" t="s">
        <v>588</v>
      </c>
      <c r="B53" s="103" t="s">
        <v>198</v>
      </c>
      <c r="C53" s="101" t="b">
        <f ca="1">OR(AND(ISNUMBER(SEARCH(B52,H2)),G2&gt;F2),(AND(ISNUMBER(SEARCH(B53,H2)),G2&lt;F2)))</f>
        <v>0</v>
      </c>
      <c r="E53" s="101" t="str">
        <f ca="1">IF(ISNA(VLOOKUP(B53,I3:I9,1,FALSE)), "FALSE", "TRUE")</f>
        <v>FALSE</v>
      </c>
      <c r="L53" s="101" t="s">
        <v>588</v>
      </c>
    </row>
    <row r="54" spans="1:12">
      <c r="A54" s="101" t="s">
        <v>589</v>
      </c>
      <c r="B54" s="103" t="s">
        <v>199</v>
      </c>
      <c r="C54" s="101" t="b">
        <f ca="1">OR(AND(ISNUMBER(SEARCH(B53,H2)),G2&gt;F2),(AND(ISNUMBER(SEARCH(B54,H2)),G2&lt;F2)))</f>
        <v>0</v>
      </c>
      <c r="E54" s="101" t="str">
        <f ca="1">IF(ISNA(VLOOKUP(B54,I3:I9,1,FALSE)), "FALSE", "TRUE")</f>
        <v>FALSE</v>
      </c>
      <c r="L54" s="101" t="s">
        <v>589</v>
      </c>
    </row>
    <row r="55" spans="1:12">
      <c r="A55" s="101" t="s">
        <v>590</v>
      </c>
      <c r="B55" s="103" t="s">
        <v>200</v>
      </c>
      <c r="C55" s="101" t="b">
        <f ca="1">OR(AND(ISNUMBER(SEARCH(B54,H2)),G2&gt;F2),(AND(ISNUMBER(SEARCH(B55,H2)),G2&lt;F2)))</f>
        <v>0</v>
      </c>
      <c r="E55" s="101" t="str">
        <f ca="1">IF(ISNA(VLOOKUP(B55,I3:I9,1,FALSE)), "FALSE", "TRUE")</f>
        <v>FALSE</v>
      </c>
      <c r="L55" s="101" t="s">
        <v>590</v>
      </c>
    </row>
    <row r="56" spans="1:12">
      <c r="A56" s="101" t="s">
        <v>591</v>
      </c>
      <c r="B56" s="103" t="s">
        <v>201</v>
      </c>
      <c r="C56" s="101" t="b">
        <f ca="1">OR(AND(ISNUMBER(SEARCH(B55,H2)),G2&gt;F2),(AND(ISNUMBER(SEARCH(B56,H2)),G2&lt;F2)))</f>
        <v>0</v>
      </c>
      <c r="E56" s="101" t="str">
        <f ca="1">IF(ISNA(VLOOKUP(B56,I3:I9,1,FALSE)), "FALSE", "TRUE")</f>
        <v>FALSE</v>
      </c>
      <c r="L56" s="101" t="s">
        <v>591</v>
      </c>
    </row>
    <row r="57" spans="1:12">
      <c r="A57" s="101" t="s">
        <v>592</v>
      </c>
      <c r="B57" s="103" t="s">
        <v>202</v>
      </c>
      <c r="C57" s="101" t="b">
        <f ca="1">OR(AND(ISNUMBER(SEARCH(B56,H2)),G2&gt;F2),(AND(ISNUMBER(SEARCH(B57,H2)),G2&lt;F2)))</f>
        <v>0</v>
      </c>
      <c r="E57" s="101" t="str">
        <f ca="1">IF(ISNA(VLOOKUP(B57,I3:I9,1,FALSE)), "FALSE", "TRUE")</f>
        <v>FALSE</v>
      </c>
      <c r="L57" s="101" t="s">
        <v>592</v>
      </c>
    </row>
    <row r="58" spans="1:12">
      <c r="A58" s="101" t="s">
        <v>593</v>
      </c>
      <c r="B58" s="103" t="s">
        <v>203</v>
      </c>
      <c r="C58" s="101" t="b">
        <f ca="1">OR(AND(ISNUMBER(SEARCH(B57,H2)),G2&gt;F2),(AND(ISNUMBER(SEARCH(B58,H2)),G2&lt;F2)))</f>
        <v>0</v>
      </c>
      <c r="E58" s="101" t="str">
        <f ca="1">IF(ISNA(VLOOKUP(B58,I3:I9,1,FALSE)), "FALSE", "TRUE")</f>
        <v>FALSE</v>
      </c>
      <c r="L58" s="101" t="s">
        <v>593</v>
      </c>
    </row>
    <row r="59" spans="1:12">
      <c r="A59" s="101" t="s">
        <v>594</v>
      </c>
      <c r="B59" s="103" t="s">
        <v>204</v>
      </c>
      <c r="C59" s="101" t="b">
        <f ca="1">OR(AND(ISNUMBER(SEARCH(B58,H2)),G2&gt;F2),(AND(ISNUMBER(SEARCH(B59,H2)),G2&lt;F2)))</f>
        <v>0</v>
      </c>
      <c r="E59" s="101" t="str">
        <f ca="1">IF(ISNA(VLOOKUP(B59,I3:I9,1,FALSE)), "FALSE", "TRUE")</f>
        <v>FALSE</v>
      </c>
      <c r="L59" s="101" t="s">
        <v>594</v>
      </c>
    </row>
    <row r="60" spans="1:12">
      <c r="A60" s="101" t="s">
        <v>595</v>
      </c>
      <c r="B60" s="103" t="s">
        <v>205</v>
      </c>
      <c r="C60" s="101" t="b">
        <f ca="1">OR(AND(ISNUMBER(SEARCH(B59,H2)),G2&gt;F2),(AND(ISNUMBER(SEARCH(B60,H2)),G2&lt;F2)))</f>
        <v>0</v>
      </c>
      <c r="E60" s="101" t="str">
        <f ca="1">IF(ISNA(VLOOKUP(B60,I3:I9,1,FALSE)), "FALSE", "TRUE")</f>
        <v>FALSE</v>
      </c>
      <c r="L60" s="101" t="s">
        <v>595</v>
      </c>
    </row>
    <row r="61" spans="1:12">
      <c r="A61" s="101" t="s">
        <v>596</v>
      </c>
      <c r="B61" s="103" t="s">
        <v>206</v>
      </c>
      <c r="C61" s="101" t="b">
        <f ca="1">OR(AND(ISNUMBER(SEARCH(B60,H2)),G2&gt;F2),(AND(ISNUMBER(SEARCH(B61,H2)),G2&lt;F2)))</f>
        <v>0</v>
      </c>
      <c r="E61" s="101" t="str">
        <f ca="1">IF(ISNA(VLOOKUP(B61,I3:I9,1,FALSE)), "FALSE", "TRUE")</f>
        <v>FALSE</v>
      </c>
      <c r="L61" s="101" t="s">
        <v>596</v>
      </c>
    </row>
    <row r="62" spans="1:12">
      <c r="A62" s="101" t="s">
        <v>597</v>
      </c>
      <c r="B62" s="103" t="s">
        <v>207</v>
      </c>
      <c r="C62" s="101" t="b">
        <f ca="1">OR(AND(ISNUMBER(SEARCH(B61,H2)),G2&gt;F2),(AND(ISNUMBER(SEARCH(B62,H2)),G2&lt;F2)))</f>
        <v>0</v>
      </c>
      <c r="E62" s="101" t="str">
        <f ca="1">IF(ISNA(VLOOKUP(B62,I3:I9,1,FALSE)), "FALSE", "TRUE")</f>
        <v>FALSE</v>
      </c>
      <c r="L62" s="101" t="s">
        <v>597</v>
      </c>
    </row>
    <row r="63" spans="1:12">
      <c r="A63" s="101" t="s">
        <v>598</v>
      </c>
      <c r="B63" s="103" t="s">
        <v>208</v>
      </c>
      <c r="C63" s="101" t="b">
        <f ca="1">OR(AND(ISNUMBER(SEARCH(B62,H2)),G2&gt;F2),(AND(ISNUMBER(SEARCH(B63,H2)),G2&lt;F2)))</f>
        <v>0</v>
      </c>
      <c r="E63" s="101" t="str">
        <f ca="1">IF(ISNA(VLOOKUP(B63,I3:I9,1,FALSE)), "FALSE", "TRUE")</f>
        <v>FALSE</v>
      </c>
      <c r="L63" s="101" t="s">
        <v>598</v>
      </c>
    </row>
    <row r="64" spans="1:12">
      <c r="A64" s="101" t="s">
        <v>599</v>
      </c>
      <c r="B64" s="103" t="s">
        <v>209</v>
      </c>
      <c r="C64" s="101" t="b">
        <f ca="1">OR(AND(ISNUMBER(SEARCH(B63,H2)),G2&gt;F2),(AND(ISNUMBER(SEARCH(B64,H2)),G2&lt;F2)))</f>
        <v>0</v>
      </c>
      <c r="E64" s="101" t="str">
        <f ca="1">IF(ISNA(VLOOKUP(B64,I3:I9,1,FALSE)), "FALSE", "TRUE")</f>
        <v>FALSE</v>
      </c>
      <c r="L64" s="101" t="s">
        <v>599</v>
      </c>
    </row>
    <row r="65" spans="1:12">
      <c r="A65" s="101" t="s">
        <v>600</v>
      </c>
      <c r="B65" s="103" t="s">
        <v>210</v>
      </c>
      <c r="C65" s="101" t="b">
        <f ca="1">OR(AND(ISNUMBER(SEARCH(B64,H2)),G2&gt;F2),(AND(ISNUMBER(SEARCH(B65,H2)),G2&lt;F2)))</f>
        <v>0</v>
      </c>
      <c r="E65" s="101" t="str">
        <f ca="1">IF(ISNA(VLOOKUP(B65,I3:I9,1,FALSE)), "FALSE", "TRUE")</f>
        <v>FALSE</v>
      </c>
      <c r="L65" s="101" t="s">
        <v>600</v>
      </c>
    </row>
    <row r="66" spans="1:12">
      <c r="A66" s="101" t="s">
        <v>601</v>
      </c>
      <c r="B66" s="103" t="s">
        <v>211</v>
      </c>
      <c r="C66" s="101" t="b">
        <f ca="1">OR(AND(ISNUMBER(SEARCH(B65,H2)),G2&gt;F2),(AND(ISNUMBER(SEARCH(B66,H2)),G2&lt;F2)))</f>
        <v>0</v>
      </c>
      <c r="E66" s="101" t="str">
        <f ca="1">IF(ISNA(VLOOKUP(B66,I3:I9,1,FALSE)), "FALSE", "TRUE")</f>
        <v>FALSE</v>
      </c>
      <c r="L66" s="101" t="s">
        <v>601</v>
      </c>
    </row>
    <row r="67" spans="1:12">
      <c r="A67" s="101" t="s">
        <v>602</v>
      </c>
      <c r="B67" s="103" t="s">
        <v>212</v>
      </c>
      <c r="C67" s="101" t="b">
        <f ca="1">OR(AND(ISNUMBER(SEARCH(B66,H2)),G2&gt;F2),(AND(ISNUMBER(SEARCH(B67,H2)),G2&lt;F2)))</f>
        <v>0</v>
      </c>
      <c r="E67" s="101" t="str">
        <f ca="1">IF(ISNA(VLOOKUP(B67,I3:I9,1,FALSE)), "FALSE", "TRUE")</f>
        <v>FALSE</v>
      </c>
      <c r="L67" s="101" t="s">
        <v>602</v>
      </c>
    </row>
    <row r="68" spans="1:12">
      <c r="A68" s="101" t="s">
        <v>603</v>
      </c>
      <c r="B68" s="103" t="s">
        <v>213</v>
      </c>
      <c r="C68" s="101" t="b">
        <f ca="1">OR(AND(ISNUMBER(SEARCH(B67,H2)),G2&gt;F2),(AND(ISNUMBER(SEARCH(B68,H2)),G2&lt;F2)))</f>
        <v>0</v>
      </c>
      <c r="E68" s="101" t="str">
        <f ca="1">IF(ISNA(VLOOKUP(B68,I3:I9,1,FALSE)), "FALSE", "TRUE")</f>
        <v>FALSE</v>
      </c>
      <c r="L68" s="101" t="s">
        <v>603</v>
      </c>
    </row>
    <row r="69" spans="1:12">
      <c r="A69" s="101" t="s">
        <v>604</v>
      </c>
      <c r="B69" s="103" t="s">
        <v>214</v>
      </c>
      <c r="C69" s="101" t="b">
        <f ca="1">OR(AND(ISNUMBER(SEARCH(B68,H2)),G2&gt;F2),(AND(ISNUMBER(SEARCH(B69,H2)),G2&lt;F2)))</f>
        <v>0</v>
      </c>
      <c r="E69" s="101" t="str">
        <f ca="1">IF(ISNA(VLOOKUP(B69,I3:I9,1,FALSE)), "FALSE", "TRUE")</f>
        <v>FALSE</v>
      </c>
      <c r="L69" s="101" t="s">
        <v>604</v>
      </c>
    </row>
    <row r="70" spans="1:12">
      <c r="A70" s="101" t="s">
        <v>605</v>
      </c>
      <c r="B70" s="103" t="s">
        <v>215</v>
      </c>
      <c r="C70" s="101" t="b">
        <f ca="1">OR(AND(ISNUMBER(SEARCH(B69,H2)),G2&gt;F2),(AND(ISNUMBER(SEARCH(B70,H2)),G2&lt;F2)))</f>
        <v>0</v>
      </c>
      <c r="E70" s="101" t="str">
        <f ca="1">IF(ISNA(VLOOKUP(B70,I3:I9,1,FALSE)), "FALSE", "TRUE")</f>
        <v>FALSE</v>
      </c>
      <c r="L70" s="101" t="s">
        <v>605</v>
      </c>
    </row>
    <row r="71" spans="1:12">
      <c r="A71" s="101" t="s">
        <v>606</v>
      </c>
      <c r="B71" s="103" t="s">
        <v>216</v>
      </c>
      <c r="C71" s="101" t="b">
        <f ca="1">OR(AND(ISNUMBER(SEARCH(B70,H2)),G2&gt;F2),(AND(ISNUMBER(SEARCH(B71,H2)),G2&lt;F2)))</f>
        <v>0</v>
      </c>
      <c r="E71" s="101" t="str">
        <f ca="1">IF(ISNA(VLOOKUP(B71,I3:I9,1,FALSE)), "FALSE", "TRUE")</f>
        <v>FALSE</v>
      </c>
      <c r="L71" s="101" t="s">
        <v>606</v>
      </c>
    </row>
    <row r="72" spans="1:12">
      <c r="A72" s="101" t="s">
        <v>607</v>
      </c>
      <c r="B72" s="103" t="s">
        <v>217</v>
      </c>
      <c r="C72" s="101" t="b">
        <f ca="1">OR(AND(ISNUMBER(SEARCH(B71,H2)),G2&gt;F2),(AND(ISNUMBER(SEARCH(B72,H2)),G2&lt;F2)))</f>
        <v>0</v>
      </c>
      <c r="E72" s="101" t="str">
        <f ca="1">IF(ISNA(VLOOKUP(B72,I3:I9,1,FALSE)), "FALSE", "TRUE")</f>
        <v>FALSE</v>
      </c>
      <c r="L72" s="101" t="s">
        <v>607</v>
      </c>
    </row>
    <row r="73" spans="1:12">
      <c r="A73" s="101" t="s">
        <v>608</v>
      </c>
      <c r="B73" s="103" t="s">
        <v>218</v>
      </c>
      <c r="C73" s="101" t="b">
        <f ca="1">OR(AND(ISNUMBER(SEARCH(B72,H2)),G2&gt;F2),(AND(ISNUMBER(SEARCH(B73,H2)),G2&lt;F2)))</f>
        <v>0</v>
      </c>
      <c r="E73" s="101" t="str">
        <f ca="1">IF(ISNA(VLOOKUP(B73,I3:I9,1,FALSE)), "FALSE", "TRUE")</f>
        <v>FALSE</v>
      </c>
      <c r="L73" s="101" t="s">
        <v>608</v>
      </c>
    </row>
    <row r="74" spans="1:12">
      <c r="A74" s="101" t="s">
        <v>609</v>
      </c>
      <c r="B74" s="103" t="s">
        <v>219</v>
      </c>
      <c r="C74" s="101" t="b">
        <f ca="1">OR(AND(ISNUMBER(SEARCH(B73,H2)),G2&gt;F2),(AND(ISNUMBER(SEARCH(B74,H2)),G2&lt;F2)))</f>
        <v>0</v>
      </c>
      <c r="E74" s="101" t="str">
        <f ca="1">IF(ISNA(VLOOKUP(B74,I3:I9,1,FALSE)), "FALSE", "TRUE")</f>
        <v>FALSE</v>
      </c>
      <c r="L74" s="101" t="s">
        <v>609</v>
      </c>
    </row>
    <row r="75" spans="1:12">
      <c r="A75" s="101" t="s">
        <v>610</v>
      </c>
      <c r="B75" s="103" t="s">
        <v>220</v>
      </c>
      <c r="C75" s="101" t="b">
        <f ca="1">OR(AND(ISNUMBER(SEARCH(B74,H2)),G2&gt;F2),(AND(ISNUMBER(SEARCH(B75,H2)),G2&lt;F2)))</f>
        <v>0</v>
      </c>
      <c r="E75" s="101" t="str">
        <f ca="1">IF(ISNA(VLOOKUP(B75,I3:I9,1,FALSE)), "FALSE", "TRUE")</f>
        <v>FALSE</v>
      </c>
      <c r="L75" s="101" t="s">
        <v>610</v>
      </c>
    </row>
    <row r="76" spans="1:12">
      <c r="A76" s="101" t="s">
        <v>611</v>
      </c>
      <c r="B76" s="103" t="s">
        <v>221</v>
      </c>
      <c r="C76" s="101" t="b">
        <f ca="1">OR(AND(ISNUMBER(SEARCH(B75,H2)),G2&gt;F2),(AND(ISNUMBER(SEARCH(B76,H2)),G2&lt;F2)))</f>
        <v>0</v>
      </c>
      <c r="E76" s="101" t="str">
        <f ca="1">IF(ISNA(VLOOKUP(B76,I3:I9,1,FALSE)), "FALSE", "TRUE")</f>
        <v>FALSE</v>
      </c>
      <c r="L76" s="101" t="s">
        <v>611</v>
      </c>
    </row>
    <row r="77" spans="1:12">
      <c r="A77" s="101" t="s">
        <v>612</v>
      </c>
      <c r="B77" s="103" t="s">
        <v>222</v>
      </c>
      <c r="C77" s="101" t="b">
        <f ca="1">OR(AND(ISNUMBER(SEARCH(B76,H2)),G2&gt;F2),(AND(ISNUMBER(SEARCH(B77,H2)),G2&lt;F2)))</f>
        <v>0</v>
      </c>
      <c r="E77" s="101" t="str">
        <f ca="1">IF(ISNA(VLOOKUP(B77,I3:I9,1,FALSE)), "FALSE", "TRUE")</f>
        <v>FALSE</v>
      </c>
      <c r="L77" s="101" t="s">
        <v>612</v>
      </c>
    </row>
    <row r="78" spans="1:12">
      <c r="A78" s="101" t="s">
        <v>613</v>
      </c>
      <c r="B78" s="103" t="s">
        <v>223</v>
      </c>
      <c r="C78" s="101" t="b">
        <f ca="1">OR(AND(ISNUMBER(SEARCH(B77,H2)),G2&gt;F2),(AND(ISNUMBER(SEARCH(B78,H2)),G2&lt;F2)))</f>
        <v>0</v>
      </c>
      <c r="E78" s="101" t="str">
        <f ca="1">IF(ISNA(VLOOKUP(B78,I3:I9,1,FALSE)), "FALSE", "TRUE")</f>
        <v>FALSE</v>
      </c>
      <c r="L78" s="101" t="s">
        <v>613</v>
      </c>
    </row>
    <row r="79" spans="1:12">
      <c r="A79" s="101" t="s">
        <v>614</v>
      </c>
      <c r="B79" s="103" t="s">
        <v>224</v>
      </c>
      <c r="C79" s="101" t="b">
        <f ca="1">OR(AND(ISNUMBER(SEARCH(B78,H2)),G2&gt;F2),(AND(ISNUMBER(SEARCH(B79,H2)),G2&lt;F2)))</f>
        <v>0</v>
      </c>
      <c r="E79" s="101" t="str">
        <f ca="1">IF(ISNA(VLOOKUP(B79,I3:I9,1,FALSE)), "FALSE", "TRUE")</f>
        <v>FALSE</v>
      </c>
      <c r="L79" s="101" t="s">
        <v>614</v>
      </c>
    </row>
    <row r="80" spans="1:12">
      <c r="A80" s="101" t="s">
        <v>615</v>
      </c>
      <c r="B80" s="103" t="s">
        <v>225</v>
      </c>
      <c r="C80" s="101" t="b">
        <f ca="1">OR(AND(ISNUMBER(SEARCH(B79,H2)),G2&gt;F2),(AND(ISNUMBER(SEARCH(B80,H2)),G2&lt;F2)))</f>
        <v>0</v>
      </c>
      <c r="E80" s="101" t="str">
        <f ca="1">IF(ISNA(VLOOKUP(B80,I3:I9,1,FALSE)), "FALSE", "TRUE")</f>
        <v>FALSE</v>
      </c>
      <c r="L80" s="101" t="s">
        <v>615</v>
      </c>
    </row>
    <row r="81" spans="1:12">
      <c r="A81" s="101" t="s">
        <v>616</v>
      </c>
      <c r="B81" s="103" t="s">
        <v>226</v>
      </c>
      <c r="C81" s="101" t="b">
        <f ca="1">OR(AND(ISNUMBER(SEARCH(B80,H2)),G2&gt;F2),(AND(ISNUMBER(SEARCH(B81,H2)),G2&lt;F2)))</f>
        <v>0</v>
      </c>
      <c r="E81" s="101" t="str">
        <f ca="1">IF(ISNA(VLOOKUP(B81,I3:I9,1,FALSE)), "FALSE", "TRUE")</f>
        <v>FALSE</v>
      </c>
      <c r="L81" s="101" t="s">
        <v>616</v>
      </c>
    </row>
    <row r="82" spans="1:12">
      <c r="A82" s="101" t="s">
        <v>617</v>
      </c>
      <c r="B82" s="103" t="s">
        <v>227</v>
      </c>
      <c r="C82" s="101" t="b">
        <f ca="1">OR(AND(ISNUMBER(SEARCH(B81,H2)),G2&gt;F2),(AND(ISNUMBER(SEARCH(B82,H2)),G2&lt;F2)))</f>
        <v>0</v>
      </c>
      <c r="E82" s="101" t="str">
        <f ca="1">IF(ISNA(VLOOKUP(B82,I3:I9,1,FALSE)), "FALSE", "TRUE")</f>
        <v>FALSE</v>
      </c>
      <c r="L82" s="101" t="s">
        <v>617</v>
      </c>
    </row>
    <row r="83" spans="1:12">
      <c r="A83" s="101" t="s">
        <v>618</v>
      </c>
      <c r="B83" s="103" t="s">
        <v>228</v>
      </c>
      <c r="C83" s="101" t="b">
        <f ca="1">OR(AND(ISNUMBER(SEARCH(B82,H2)),G2&gt;F2),(AND(ISNUMBER(SEARCH(B83,H2)),G2&lt;F2)))</f>
        <v>0</v>
      </c>
      <c r="E83" s="101" t="str">
        <f ca="1">IF(ISNA(VLOOKUP(B83,I3:I9,1,FALSE)), "FALSE", "TRUE")</f>
        <v>FALSE</v>
      </c>
      <c r="L83" s="101" t="s">
        <v>618</v>
      </c>
    </row>
    <row r="84" spans="1:12">
      <c r="A84" s="101" t="s">
        <v>619</v>
      </c>
      <c r="B84" s="103" t="s">
        <v>229</v>
      </c>
      <c r="C84" s="101" t="b">
        <f ca="1">OR(AND(ISNUMBER(SEARCH(B83,H2)),G2&gt;F2),(AND(ISNUMBER(SEARCH(B84,H2)),G2&lt;F2)))</f>
        <v>0</v>
      </c>
      <c r="E84" s="101" t="str">
        <f ca="1">IF(ISNA(VLOOKUP(B84,I3:I9,1,FALSE)), "FALSE", "TRUE")</f>
        <v>FALSE</v>
      </c>
      <c r="L84" s="101" t="s">
        <v>619</v>
      </c>
    </row>
    <row r="85" spans="1:12">
      <c r="A85" s="101" t="s">
        <v>620</v>
      </c>
      <c r="B85" s="103" t="s">
        <v>230</v>
      </c>
      <c r="C85" s="101" t="b">
        <f ca="1">OR(AND(ISNUMBER(SEARCH(B84,H2)),G2&gt;F2),(AND(ISNUMBER(SEARCH(B85,H2)),G2&lt;F2)))</f>
        <v>0</v>
      </c>
      <c r="E85" s="101" t="str">
        <f ca="1">IF(ISNA(VLOOKUP(B85,I3:I9,1,FALSE)), "FALSE", "TRUE")</f>
        <v>FALSE</v>
      </c>
      <c r="L85" s="101" t="s">
        <v>620</v>
      </c>
    </row>
    <row r="86" spans="1:12">
      <c r="A86" s="101" t="s">
        <v>621</v>
      </c>
      <c r="B86" s="103" t="s">
        <v>231</v>
      </c>
      <c r="C86" s="101" t="b">
        <f ca="1">OR(AND(ISNUMBER(SEARCH(B85,H2)),G2&gt;F2),(AND(ISNUMBER(SEARCH(B86,H2)),G2&lt;F2)))</f>
        <v>0</v>
      </c>
      <c r="D86" s="103" t="s">
        <v>935</v>
      </c>
      <c r="E86" s="101" t="str">
        <f ca="1">IF(ISNA(VLOOKUP(B86,I3:I9,1,FALSE)), "FALSE", "TRUE")</f>
        <v>FALSE</v>
      </c>
      <c r="J86" s="103" t="s">
        <v>907</v>
      </c>
      <c r="L86" s="101" t="s">
        <v>621</v>
      </c>
    </row>
    <row r="87" spans="1:12">
      <c r="A87" s="101" t="s">
        <v>622</v>
      </c>
      <c r="B87" s="103" t="s">
        <v>232</v>
      </c>
      <c r="C87" s="101" t="b">
        <f ca="1">OR(AND(ISNUMBER(SEARCH(B86,H2)),G2&gt;F2),(AND(ISNUMBER(SEARCH(B87,H2)),G2&lt;F2)))</f>
        <v>0</v>
      </c>
      <c r="D87" s="103" t="s">
        <v>935</v>
      </c>
      <c r="E87" s="101" t="str">
        <f ca="1">IF(ISNA(VLOOKUP(B87,I3:I9,1,FALSE)), "FALSE", "TRUE")</f>
        <v>FALSE</v>
      </c>
      <c r="J87" s="103" t="s">
        <v>908</v>
      </c>
      <c r="L87" s="101" t="s">
        <v>622</v>
      </c>
    </row>
    <row r="88" spans="1:12">
      <c r="A88" s="101" t="s">
        <v>623</v>
      </c>
      <c r="B88" s="103" t="s">
        <v>233</v>
      </c>
      <c r="C88" s="101" t="b">
        <f ca="1">OR(AND(ISNUMBER(SEARCH(B87,H2)),G2&gt;F2),(AND(ISNUMBER(SEARCH(B88,H2)),G2&lt;F2)))</f>
        <v>0</v>
      </c>
      <c r="D88" s="103" t="s">
        <v>935</v>
      </c>
      <c r="E88" s="101" t="str">
        <f ca="1">IF(ISNA(VLOOKUP(B88,I3:I9,1,FALSE)), "FALSE", "TRUE")</f>
        <v>FALSE</v>
      </c>
      <c r="J88" s="103" t="s">
        <v>909</v>
      </c>
      <c r="L88" s="101" t="s">
        <v>623</v>
      </c>
    </row>
    <row r="89" spans="1:12">
      <c r="A89" s="101" t="s">
        <v>624</v>
      </c>
      <c r="B89" s="103" t="s">
        <v>234</v>
      </c>
      <c r="C89" s="101" t="b">
        <f ca="1">OR(AND(ISNUMBER(SEARCH(B88,H2)),G2&gt;F2),(AND(ISNUMBER(SEARCH(B89,H2)),G2&lt;F2)))</f>
        <v>0</v>
      </c>
      <c r="D89" s="103" t="s">
        <v>935</v>
      </c>
      <c r="E89" s="101" t="str">
        <f ca="1">IF(ISNA(VLOOKUP(B89,I3:I9,1,FALSE)), "FALSE", "TRUE")</f>
        <v>FALSE</v>
      </c>
      <c r="J89" s="103" t="s">
        <v>910</v>
      </c>
      <c r="L89" s="101" t="s">
        <v>624</v>
      </c>
    </row>
    <row r="90" spans="1:12">
      <c r="A90" s="101" t="s">
        <v>625</v>
      </c>
      <c r="B90" s="103" t="s">
        <v>235</v>
      </c>
      <c r="C90" s="101" t="b">
        <f ca="1">OR(AND(ISNUMBER(SEARCH(B89,H2)),G2&gt;F2),(AND(ISNUMBER(SEARCH(B90,H2)),G2&lt;F2)))</f>
        <v>0</v>
      </c>
      <c r="D90" s="103" t="s">
        <v>935</v>
      </c>
      <c r="E90" s="101" t="str">
        <f ca="1">IF(ISNA(VLOOKUP(B90,I3:I9,1,FALSE)), "FALSE", "TRUE")</f>
        <v>FALSE</v>
      </c>
      <c r="J90" s="103" t="s">
        <v>911</v>
      </c>
      <c r="L90" s="101" t="s">
        <v>625</v>
      </c>
    </row>
    <row r="91" spans="1:12">
      <c r="A91" s="101" t="s">
        <v>626</v>
      </c>
      <c r="B91" s="103" t="s">
        <v>236</v>
      </c>
      <c r="C91" s="101" t="b">
        <f ca="1">OR(AND(ISNUMBER(SEARCH(B90,H2)),G2&gt;F2),(AND(ISNUMBER(SEARCH(B91,H2)),G2&lt;F2)))</f>
        <v>0</v>
      </c>
      <c r="D91" s="103" t="s">
        <v>935</v>
      </c>
      <c r="E91" s="101" t="str">
        <f ca="1">IF(ISNA(VLOOKUP(B91,I3:I9,1,FALSE)), "FALSE", "TRUE")</f>
        <v>FALSE</v>
      </c>
      <c r="J91" s="103" t="s">
        <v>912</v>
      </c>
      <c r="L91" s="101" t="s">
        <v>626</v>
      </c>
    </row>
    <row r="92" spans="1:12">
      <c r="A92" s="101" t="s">
        <v>627</v>
      </c>
      <c r="B92" s="103" t="s">
        <v>237</v>
      </c>
      <c r="C92" s="101" t="b">
        <f ca="1">OR(AND(ISNUMBER(SEARCH(B91,H2)),G2&gt;F2),(AND(ISNUMBER(SEARCH(B92,H2)),G2&lt;F2)))</f>
        <v>0</v>
      </c>
      <c r="D92" s="103" t="s">
        <v>935</v>
      </c>
      <c r="E92" s="101" t="str">
        <f ca="1">IF(ISNA(VLOOKUP(B92,I3:I9,1,FALSE)), "FALSE", "TRUE")</f>
        <v>FALSE</v>
      </c>
      <c r="J92" s="103" t="s">
        <v>913</v>
      </c>
      <c r="L92" s="101" t="s">
        <v>627</v>
      </c>
    </row>
    <row r="93" spans="1:12">
      <c r="A93" s="101" t="s">
        <v>628</v>
      </c>
      <c r="B93" s="103" t="s">
        <v>238</v>
      </c>
      <c r="C93" s="101" t="b">
        <f ca="1">OR(AND(ISNUMBER(SEARCH(B92,H2)),G2&gt;F2),(AND(ISNUMBER(SEARCH(B93,H2)),G2&lt;F2)))</f>
        <v>0</v>
      </c>
      <c r="D93" s="103" t="s">
        <v>935</v>
      </c>
      <c r="E93" s="101" t="str">
        <f ca="1">IF(ISNA(VLOOKUP(B93,I3:I9,1,FALSE)), "FALSE", "TRUE")</f>
        <v>FALSE</v>
      </c>
      <c r="J93" s="103" t="s">
        <v>914</v>
      </c>
      <c r="L93" s="101" t="s">
        <v>628</v>
      </c>
    </row>
    <row r="94" spans="1:12">
      <c r="A94" s="101" t="s">
        <v>629</v>
      </c>
      <c r="B94" s="103" t="s">
        <v>239</v>
      </c>
      <c r="C94" s="101" t="b">
        <f ca="1">OR(AND(ISNUMBER(SEARCH(B93,H2)),G2&gt;F2),(AND(ISNUMBER(SEARCH(B94,H2)),G2&lt;F2)))</f>
        <v>0</v>
      </c>
      <c r="E94" s="101" t="str">
        <f ca="1">IF(ISNA(VLOOKUP(B94,I3:I9,1,FALSE)), "FALSE", "TRUE")</f>
        <v>FALSE</v>
      </c>
      <c r="L94" s="101" t="s">
        <v>629</v>
      </c>
    </row>
    <row r="95" spans="1:12">
      <c r="A95" s="101" t="s">
        <v>630</v>
      </c>
      <c r="B95" s="103" t="s">
        <v>240</v>
      </c>
      <c r="C95" s="101" t="b">
        <f ca="1">OR(AND(ISNUMBER(SEARCH(B94,H2)),G2&gt;F2),(AND(ISNUMBER(SEARCH(B95,H2)),G2&lt;F2)))</f>
        <v>0</v>
      </c>
      <c r="E95" s="101" t="str">
        <f ca="1">IF(ISNA(VLOOKUP(B95,I3:I9,1,FALSE)), "FALSE", "TRUE")</f>
        <v>FALSE</v>
      </c>
      <c r="L95" s="101" t="s">
        <v>630</v>
      </c>
    </row>
    <row r="96" spans="1:12">
      <c r="A96" s="101" t="s">
        <v>631</v>
      </c>
      <c r="B96" s="103" t="s">
        <v>241</v>
      </c>
      <c r="C96" s="101" t="b">
        <f ca="1">OR(AND(ISNUMBER(SEARCH(B95,H2)),G2&gt;F2),(AND(ISNUMBER(SEARCH(B96,H2)),G2&lt;F2)))</f>
        <v>0</v>
      </c>
      <c r="E96" s="101" t="str">
        <f ca="1">IF(ISNA(VLOOKUP(B96,I3:I9,1,FALSE)), "FALSE", "TRUE")</f>
        <v>FALSE</v>
      </c>
      <c r="L96" s="101" t="s">
        <v>631</v>
      </c>
    </row>
    <row r="97" spans="1:12">
      <c r="A97" s="101" t="s">
        <v>632</v>
      </c>
      <c r="B97" s="103" t="s">
        <v>242</v>
      </c>
      <c r="C97" s="101" t="b">
        <f ca="1">OR(AND(ISNUMBER(SEARCH(B96,H2)),G2&gt;F2),(AND(ISNUMBER(SEARCH(B97,H2)),G2&lt;F2)))</f>
        <v>0</v>
      </c>
      <c r="E97" s="101" t="str">
        <f ca="1">IF(ISNA(VLOOKUP(B97,I3:I9,1,FALSE)), "FALSE", "TRUE")</f>
        <v>FALSE</v>
      </c>
      <c r="K97" s="103"/>
      <c r="L97" s="101" t="s">
        <v>632</v>
      </c>
    </row>
    <row r="98" spans="1:12">
      <c r="A98" s="101" t="s">
        <v>633</v>
      </c>
      <c r="B98" s="103" t="s">
        <v>243</v>
      </c>
      <c r="C98" s="101" t="b">
        <f ca="1">OR(AND(ISNUMBER(SEARCH(B97,H2)),G2&gt;F2),(AND(ISNUMBER(SEARCH(B98,H2)),G2&lt;F2)))</f>
        <v>0</v>
      </c>
      <c r="E98" s="101" t="str">
        <f ca="1">IF(ISNA(VLOOKUP(B98,I3:I9,1,FALSE)), "FALSE", "TRUE")</f>
        <v>FALSE</v>
      </c>
      <c r="K98" s="103"/>
      <c r="L98" s="101" t="s">
        <v>633</v>
      </c>
    </row>
    <row r="99" spans="1:12">
      <c r="A99" s="101" t="s">
        <v>634</v>
      </c>
      <c r="B99" s="103" t="s">
        <v>244</v>
      </c>
      <c r="C99" s="101" t="b">
        <f ca="1">OR(AND(ISNUMBER(SEARCH(B98,H2)),G2&gt;F2),(AND(ISNUMBER(SEARCH(B99,H2)),G2&lt;F2)))</f>
        <v>0</v>
      </c>
      <c r="E99" s="101" t="str">
        <f ca="1">IF(ISNA(VLOOKUP(B99,I3:I9,1,FALSE)), "FALSE", "TRUE")</f>
        <v>FALSE</v>
      </c>
      <c r="K99" s="103"/>
      <c r="L99" s="101" t="s">
        <v>634</v>
      </c>
    </row>
    <row r="100" spans="1:12">
      <c r="A100" s="101" t="s">
        <v>635</v>
      </c>
      <c r="B100" s="103" t="s">
        <v>245</v>
      </c>
      <c r="C100" s="101" t="b">
        <f ca="1">OR(AND(ISNUMBER(SEARCH(B99,H2)),G2&gt;F2),(AND(ISNUMBER(SEARCH(B100,H2)),G2&lt;F2)))</f>
        <v>0</v>
      </c>
      <c r="E100" s="101" t="str">
        <f ca="1">IF(ISNA(VLOOKUP(B100,I3:I9,1,FALSE)), "FALSE", "TRUE")</f>
        <v>FALSE</v>
      </c>
      <c r="K100" s="103"/>
      <c r="L100" s="101" t="s">
        <v>635</v>
      </c>
    </row>
    <row r="101" spans="1:12">
      <c r="A101" s="101" t="s">
        <v>636</v>
      </c>
      <c r="B101" s="103" t="s">
        <v>246</v>
      </c>
      <c r="C101" s="101" t="b">
        <f ca="1">OR(AND(ISNUMBER(SEARCH(B100,H2)),G2&gt;F2),(AND(ISNUMBER(SEARCH(B101,H2)),G2&lt;F2)))</f>
        <v>0</v>
      </c>
      <c r="E101" s="101" t="str">
        <f ca="1">IF(ISNA(VLOOKUP(B101,I3:I9,1,FALSE)), "FALSE", "TRUE")</f>
        <v>FALSE</v>
      </c>
      <c r="K101" s="103"/>
      <c r="L101" s="101" t="s">
        <v>636</v>
      </c>
    </row>
    <row r="102" spans="1:12">
      <c r="A102" s="101" t="s">
        <v>637</v>
      </c>
      <c r="B102" s="103" t="s">
        <v>247</v>
      </c>
      <c r="C102" s="101" t="b">
        <f ca="1">OR(AND(ISNUMBER(SEARCH(B101,H2)),G2&gt;F2),(AND(ISNUMBER(SEARCH(B102,H2)),G2&lt;F2)))</f>
        <v>0</v>
      </c>
      <c r="E102" s="101" t="str">
        <f ca="1">IF(ISNA(VLOOKUP(B102,I3:I9,1,FALSE)), "FALSE", "TRUE")</f>
        <v>FALSE</v>
      </c>
      <c r="K102" s="103"/>
      <c r="L102" s="101" t="s">
        <v>637</v>
      </c>
    </row>
    <row r="103" spans="1:12">
      <c r="A103" s="101" t="s">
        <v>638</v>
      </c>
      <c r="B103" s="103" t="s">
        <v>248</v>
      </c>
      <c r="C103" s="101" t="b">
        <f ca="1">OR(AND(ISNUMBER(SEARCH(B102,H2)),G2&gt;F2),(AND(ISNUMBER(SEARCH(B103,H2)),G2&lt;F2)))</f>
        <v>0</v>
      </c>
      <c r="E103" s="101" t="str">
        <f ca="1">IF(ISNA(VLOOKUP(B103,I3:I9,1,FALSE)), "FALSE", "TRUE")</f>
        <v>FALSE</v>
      </c>
      <c r="K103" s="103"/>
      <c r="L103" s="101" t="s">
        <v>638</v>
      </c>
    </row>
    <row r="104" spans="1:12">
      <c r="A104" s="101" t="s">
        <v>639</v>
      </c>
      <c r="B104" s="103" t="s">
        <v>249</v>
      </c>
      <c r="C104" s="101" t="b">
        <f ca="1">OR(AND(ISNUMBER(SEARCH(B103,H2)),G2&gt;F2),(AND(ISNUMBER(SEARCH(B104,H2)),G2&lt;F2)))</f>
        <v>0</v>
      </c>
      <c r="E104" s="101" t="str">
        <f ca="1">IF(ISNA(VLOOKUP(B104,I3:I9,1,FALSE)), "FALSE", "TRUE")</f>
        <v>FALSE</v>
      </c>
      <c r="L104" s="101" t="s">
        <v>639</v>
      </c>
    </row>
    <row r="105" spans="1:12">
      <c r="A105" s="101" t="s">
        <v>640</v>
      </c>
      <c r="B105" s="103" t="s">
        <v>250</v>
      </c>
      <c r="C105" s="101" t="b">
        <f ca="1">OR(AND(ISNUMBER(SEARCH(B104,H2)),G2&gt;F2),(AND(ISNUMBER(SEARCH(B105,H2)),G2&lt;F2)))</f>
        <v>0</v>
      </c>
      <c r="E105" s="101" t="str">
        <f ca="1">IF(ISNA(VLOOKUP(B105,I3:I9,1,FALSE)), "FALSE", "TRUE")</f>
        <v>FALSE</v>
      </c>
      <c r="L105" s="101" t="s">
        <v>640</v>
      </c>
    </row>
    <row r="106" spans="1:12">
      <c r="A106" s="101" t="s">
        <v>641</v>
      </c>
      <c r="B106" s="103" t="s">
        <v>251</v>
      </c>
      <c r="C106" s="101" t="b">
        <f ca="1">OR(AND(ISNUMBER(SEARCH(B105,H2)),G2&gt;F2),(AND(ISNUMBER(SEARCH(B106,H2)),G2&lt;F2)))</f>
        <v>0</v>
      </c>
      <c r="E106" s="101" t="str">
        <f ca="1">IF(ISNA(VLOOKUP(B106,I3:I9,1,FALSE)), "FALSE", "TRUE")</f>
        <v>FALSE</v>
      </c>
      <c r="L106" s="101" t="s">
        <v>641</v>
      </c>
    </row>
    <row r="107" spans="1:12">
      <c r="A107" s="101" t="s">
        <v>642</v>
      </c>
      <c r="B107" s="103" t="s">
        <v>252</v>
      </c>
      <c r="C107" s="101" t="b">
        <f ca="1">OR(AND(ISNUMBER(SEARCH(B106,H2)),G2&gt;F2),(AND(ISNUMBER(SEARCH(B107,H2)),G2&lt;F2)))</f>
        <v>0</v>
      </c>
      <c r="E107" s="101" t="str">
        <f ca="1">IF(ISNA(VLOOKUP(B107,I3:I9,1,FALSE)), "FALSE", "TRUE")</f>
        <v>FALSE</v>
      </c>
      <c r="L107" s="101" t="s">
        <v>642</v>
      </c>
    </row>
    <row r="108" spans="1:12">
      <c r="A108" s="101" t="s">
        <v>643</v>
      </c>
      <c r="B108" s="103" t="s">
        <v>253</v>
      </c>
      <c r="C108" s="101" t="b">
        <f ca="1">OR(AND(ISNUMBER(SEARCH(B107,H2)),G2&gt;F2),(AND(ISNUMBER(SEARCH(B108,H2)),G2&lt;F2)))</f>
        <v>0</v>
      </c>
      <c r="E108" s="101" t="str">
        <f ca="1">IF(ISNA(VLOOKUP(B108,I3:I9,1,FALSE)), "FALSE", "TRUE")</f>
        <v>FALSE</v>
      </c>
      <c r="L108" s="101" t="s">
        <v>643</v>
      </c>
    </row>
    <row r="109" spans="1:12">
      <c r="A109" s="101" t="s">
        <v>644</v>
      </c>
      <c r="B109" s="103" t="s">
        <v>254</v>
      </c>
      <c r="C109" s="101" t="b">
        <f ca="1">OR(AND(ISNUMBER(SEARCH(B108,H2)),G2&gt;F2),(AND(ISNUMBER(SEARCH(B109,H2)),G2&lt;F2)))</f>
        <v>0</v>
      </c>
      <c r="E109" s="101" t="str">
        <f ca="1">IF(ISNA(VLOOKUP(B109,I3:I9,1,FALSE)), "FALSE", "TRUE")</f>
        <v>FALSE</v>
      </c>
      <c r="L109" s="101" t="s">
        <v>644</v>
      </c>
    </row>
    <row r="110" spans="1:12">
      <c r="A110" s="101" t="s">
        <v>645</v>
      </c>
      <c r="B110" s="103" t="s">
        <v>255</v>
      </c>
      <c r="C110" s="101" t="b">
        <f ca="1">OR(AND(ISNUMBER(SEARCH(B109,H2)),G2&gt;F2),(AND(ISNUMBER(SEARCH(B110,H2)),G2&lt;F2)))</f>
        <v>0</v>
      </c>
      <c r="E110" s="101" t="str">
        <f ca="1">IF(ISNA(VLOOKUP(B110,I3:I9,1,FALSE)), "FALSE", "TRUE")</f>
        <v>FALSE</v>
      </c>
      <c r="L110" s="101" t="s">
        <v>645</v>
      </c>
    </row>
    <row r="111" spans="1:12">
      <c r="A111" s="101" t="s">
        <v>646</v>
      </c>
      <c r="B111" s="103" t="s">
        <v>256</v>
      </c>
      <c r="C111" s="101" t="b">
        <f ca="1">OR(AND(ISNUMBER(SEARCH(B110,H2)),G2&gt;F2),(AND(ISNUMBER(SEARCH(B111,H2)),G2&lt;F2)))</f>
        <v>0</v>
      </c>
      <c r="E111" s="101" t="str">
        <f ca="1">IF(ISNA(VLOOKUP(B111,I3:I9,1,FALSE)), "FALSE", "TRUE")</f>
        <v>FALSE</v>
      </c>
      <c r="L111" s="101" t="s">
        <v>646</v>
      </c>
    </row>
    <row r="112" spans="1:12">
      <c r="A112" s="101" t="s">
        <v>647</v>
      </c>
      <c r="B112" s="103" t="s">
        <v>257</v>
      </c>
      <c r="C112" s="101" t="b">
        <f ca="1">OR(AND(ISNUMBER(SEARCH(B111,H2)),G2&gt;F2),(AND(ISNUMBER(SEARCH(B112,H2)),G2&lt;F2)))</f>
        <v>0</v>
      </c>
      <c r="E112" s="101" t="str">
        <f ca="1">IF(ISNA(VLOOKUP(B112,I3:I9,1,FALSE)), "FALSE", "TRUE")</f>
        <v>FALSE</v>
      </c>
      <c r="L112" s="101" t="s">
        <v>647</v>
      </c>
    </row>
    <row r="113" spans="1:12">
      <c r="A113" s="101" t="s">
        <v>648</v>
      </c>
      <c r="B113" s="103" t="s">
        <v>258</v>
      </c>
      <c r="C113" s="101" t="b">
        <f ca="1">OR(AND(ISNUMBER(SEARCH(B112,H2)),G2&gt;F2),(AND(ISNUMBER(SEARCH(B113,H2)),G2&lt;F2)))</f>
        <v>0</v>
      </c>
      <c r="E113" s="101" t="str">
        <f ca="1">IF(ISNA(VLOOKUP(B113,I3:I9,1,FALSE)), "FALSE", "TRUE")</f>
        <v>FALSE</v>
      </c>
      <c r="L113" s="101" t="s">
        <v>648</v>
      </c>
    </row>
    <row r="114" spans="1:12">
      <c r="A114" s="101" t="s">
        <v>649</v>
      </c>
      <c r="B114" s="103" t="s">
        <v>259</v>
      </c>
      <c r="C114" s="101" t="b">
        <f ca="1">OR(AND(ISNUMBER(SEARCH(B113,H2)),G2&gt;F2),(AND(ISNUMBER(SEARCH(B114,H2)),G2&lt;F2)))</f>
        <v>0</v>
      </c>
      <c r="E114" s="101" t="str">
        <f ca="1">IF(ISNA(VLOOKUP(B114,I3:I9,1,FALSE)), "FALSE", "TRUE")</f>
        <v>FALSE</v>
      </c>
      <c r="L114" s="101" t="s">
        <v>649</v>
      </c>
    </row>
    <row r="115" spans="1:12">
      <c r="A115" s="101" t="s">
        <v>650</v>
      </c>
      <c r="B115" s="103" t="s">
        <v>260</v>
      </c>
      <c r="C115" s="101" t="b">
        <f ca="1">OR(AND(ISNUMBER(SEARCH(B114,H2)),G2&gt;F2),(AND(ISNUMBER(SEARCH(B115,H2)),G2&lt;F2)))</f>
        <v>0</v>
      </c>
      <c r="E115" s="101" t="str">
        <f ca="1">IF(ISNA(VLOOKUP(B115,I3:I9,1,FALSE)), "FALSE", "TRUE")</f>
        <v>FALSE</v>
      </c>
      <c r="L115" s="101" t="s">
        <v>650</v>
      </c>
    </row>
    <row r="116" spans="1:12">
      <c r="A116" s="101" t="s">
        <v>651</v>
      </c>
      <c r="B116" s="103" t="s">
        <v>261</v>
      </c>
      <c r="C116" s="101" t="b">
        <f ca="1">OR(AND(ISNUMBER(SEARCH(B115,H2)),G2&gt;F2),(AND(ISNUMBER(SEARCH(B116,H2)),G2&lt;F2)))</f>
        <v>0</v>
      </c>
      <c r="E116" s="101" t="str">
        <f ca="1">IF(ISNA(VLOOKUP(B116,I3:I9,1,FALSE)), "FALSE", "TRUE")</f>
        <v>FALSE</v>
      </c>
      <c r="L116" s="101" t="s">
        <v>651</v>
      </c>
    </row>
    <row r="117" spans="1:12">
      <c r="A117" s="101" t="s">
        <v>652</v>
      </c>
      <c r="B117" s="103" t="s">
        <v>262</v>
      </c>
      <c r="C117" s="101" t="b">
        <f ca="1">OR(AND(ISNUMBER(SEARCH(B116,H2)),G2&gt;F2),(AND(ISNUMBER(SEARCH(B117,H2)),G2&lt;F2)))</f>
        <v>0</v>
      </c>
      <c r="E117" s="101" t="str">
        <f ca="1">IF(ISNA(VLOOKUP(B117,I3:I9,1,FALSE)), "FALSE", "TRUE")</f>
        <v>FALSE</v>
      </c>
      <c r="L117" s="101" t="s">
        <v>652</v>
      </c>
    </row>
    <row r="118" spans="1:12">
      <c r="A118" s="101" t="s">
        <v>653</v>
      </c>
      <c r="B118" s="103" t="s">
        <v>263</v>
      </c>
      <c r="C118" s="101" t="b">
        <f ca="1">OR(AND(ISNUMBER(SEARCH(B117,H2)),G2&gt;F2),(AND(ISNUMBER(SEARCH(B118,H2)),G2&lt;F2)))</f>
        <v>0</v>
      </c>
      <c r="E118" s="101" t="str">
        <f ca="1">IF(ISNA(VLOOKUP(B118,I3:I9,1,FALSE)), "FALSE", "TRUE")</f>
        <v>FALSE</v>
      </c>
      <c r="L118" s="101" t="s">
        <v>653</v>
      </c>
    </row>
    <row r="119" spans="1:12">
      <c r="A119" s="101" t="s">
        <v>654</v>
      </c>
      <c r="B119" s="103" t="s">
        <v>264</v>
      </c>
      <c r="C119" s="101" t="b">
        <f ca="1">OR(AND(ISNUMBER(SEARCH(B118,H2)),G2&gt;F2),(AND(ISNUMBER(SEARCH(B119,H2)),G2&lt;F2)))</f>
        <v>0</v>
      </c>
      <c r="E119" s="101" t="str">
        <f ca="1">IF(ISNA(VLOOKUP(B119,I3:I9,1,FALSE)), "FALSE", "TRUE")</f>
        <v>FALSE</v>
      </c>
      <c r="L119" s="101" t="s">
        <v>654</v>
      </c>
    </row>
    <row r="120" spans="1:12">
      <c r="A120" s="101" t="s">
        <v>655</v>
      </c>
      <c r="B120" s="103" t="s">
        <v>265</v>
      </c>
      <c r="C120" s="101" t="b">
        <f ca="1">OR(AND(ISNUMBER(SEARCH(B119,H2)),G2&gt;F2),(AND(ISNUMBER(SEARCH(B120,H2)),G2&lt;F2)))</f>
        <v>0</v>
      </c>
      <c r="E120" s="101" t="str">
        <f ca="1">IF(ISNA(VLOOKUP(B120,I3:I9,1,FALSE)), "FALSE", "TRUE")</f>
        <v>FALSE</v>
      </c>
      <c r="L120" s="101" t="s">
        <v>655</v>
      </c>
    </row>
    <row r="121" spans="1:12">
      <c r="A121" s="101" t="s">
        <v>656</v>
      </c>
      <c r="B121" s="103" t="s">
        <v>266</v>
      </c>
      <c r="C121" s="101" t="b">
        <f ca="1">OR(AND(ISNUMBER(SEARCH(B120,H2)),G2&gt;F2),(AND(ISNUMBER(SEARCH(B121,H2)),G2&lt;F2)))</f>
        <v>0</v>
      </c>
      <c r="E121" s="101" t="str">
        <f ca="1">IF(ISNA(VLOOKUP(B121,I3:I9,1,FALSE)), "FALSE", "TRUE")</f>
        <v>FALSE</v>
      </c>
      <c r="L121" s="101" t="s">
        <v>656</v>
      </c>
    </row>
    <row r="122" spans="1:12">
      <c r="A122" s="101" t="s">
        <v>657</v>
      </c>
      <c r="B122" s="103" t="s">
        <v>267</v>
      </c>
      <c r="C122" s="101" t="b">
        <f ca="1">OR(AND(ISNUMBER(SEARCH(B121,H2)),G2&gt;F2),(AND(ISNUMBER(SEARCH(B122,H2)),G2&lt;F2)))</f>
        <v>0</v>
      </c>
      <c r="E122" s="101" t="str">
        <f ca="1">IF(ISNA(VLOOKUP(B122,I3:I9,1,FALSE)), "FALSE", "TRUE")</f>
        <v>FALSE</v>
      </c>
      <c r="L122" s="101" t="s">
        <v>657</v>
      </c>
    </row>
    <row r="123" spans="1:12">
      <c r="A123" s="101" t="s">
        <v>658</v>
      </c>
      <c r="B123" s="103" t="s">
        <v>268</v>
      </c>
      <c r="C123" s="101" t="b">
        <f ca="1">OR(AND(ISNUMBER(SEARCH(B122,H2)),G2&gt;F2),(AND(ISNUMBER(SEARCH(B123,H2)),G2&lt;F2)))</f>
        <v>0</v>
      </c>
      <c r="E123" s="101" t="str">
        <f ca="1">IF(ISNA(VLOOKUP(B123,I3:I9,1,FALSE)), "FALSE", "TRUE")</f>
        <v>FALSE</v>
      </c>
      <c r="L123" s="101" t="s">
        <v>658</v>
      </c>
    </row>
    <row r="124" spans="1:12">
      <c r="A124" s="101" t="s">
        <v>659</v>
      </c>
      <c r="B124" s="103" t="s">
        <v>269</v>
      </c>
      <c r="C124" s="101" t="b">
        <f ca="1">OR(AND(ISNUMBER(SEARCH(B123,H2)),G2&gt;F2),(AND(ISNUMBER(SEARCH(B124,H2)),G2&lt;F2)))</f>
        <v>0</v>
      </c>
      <c r="E124" s="101" t="str">
        <f ca="1">IF(ISNA(VLOOKUP(B124,I3:I9,1,FALSE)), "FALSE", "TRUE")</f>
        <v>FALSE</v>
      </c>
      <c r="L124" s="101" t="s">
        <v>659</v>
      </c>
    </row>
    <row r="125" spans="1:12">
      <c r="A125" s="101" t="s">
        <v>660</v>
      </c>
      <c r="B125" s="103" t="s">
        <v>270</v>
      </c>
      <c r="C125" s="101" t="b">
        <f ca="1">OR(AND(ISNUMBER(SEARCH(B124,H2)),G2&gt;F2),(AND(ISNUMBER(SEARCH(B125,H2)),G2&lt;F2)))</f>
        <v>0</v>
      </c>
      <c r="E125" s="101" t="str">
        <f ca="1">IF(ISNA(VLOOKUP(B125,I3:I9,1,FALSE)), "FALSE", "TRUE")</f>
        <v>FALSE</v>
      </c>
      <c r="L125" s="101" t="s">
        <v>660</v>
      </c>
    </row>
    <row r="126" spans="1:12">
      <c r="A126" s="101" t="s">
        <v>661</v>
      </c>
      <c r="B126" s="103" t="s">
        <v>271</v>
      </c>
      <c r="C126" s="101" t="b">
        <f ca="1">OR(AND(ISNUMBER(SEARCH(B125,H2)),G2&gt;F2),(AND(ISNUMBER(SEARCH(B126,H2)),G2&lt;F2)))</f>
        <v>0</v>
      </c>
      <c r="E126" s="101" t="str">
        <f ca="1">IF(ISNA(VLOOKUP(B126,I3:I9,1,FALSE)), "FALSE", "TRUE")</f>
        <v>FALSE</v>
      </c>
      <c r="L126" s="101" t="s">
        <v>661</v>
      </c>
    </row>
    <row r="127" spans="1:12">
      <c r="A127" s="101" t="s">
        <v>662</v>
      </c>
      <c r="B127" s="103" t="s">
        <v>272</v>
      </c>
      <c r="C127" s="101" t="b">
        <f ca="1">OR(AND(ISNUMBER(SEARCH(B126,H2)),G2&gt;F2),(AND(ISNUMBER(SEARCH(B127,H2)),G2&lt;F2)))</f>
        <v>0</v>
      </c>
      <c r="E127" s="101" t="str">
        <f ca="1">IF(ISNA(VLOOKUP(B127,I3:I9,1,FALSE)), "FALSE", "TRUE")</f>
        <v>FALSE</v>
      </c>
      <c r="L127" s="101" t="s">
        <v>662</v>
      </c>
    </row>
    <row r="128" spans="1:12">
      <c r="A128" s="101" t="s">
        <v>663</v>
      </c>
      <c r="B128" s="103" t="s">
        <v>273</v>
      </c>
      <c r="C128" s="101" t="b">
        <f ca="1">OR(AND(ISNUMBER(SEARCH(B127,H2)),G2&gt;F2),(AND(ISNUMBER(SEARCH(B128,H2)),G2&lt;F2)))</f>
        <v>0</v>
      </c>
      <c r="E128" s="101" t="str">
        <f ca="1">IF(ISNA(VLOOKUP(B128,I3:I9,1,FALSE)), "FALSE", "TRUE")</f>
        <v>FALSE</v>
      </c>
      <c r="L128" s="101" t="s">
        <v>663</v>
      </c>
    </row>
    <row r="129" spans="1:12">
      <c r="A129" s="101" t="s">
        <v>664</v>
      </c>
      <c r="B129" s="103" t="s">
        <v>274</v>
      </c>
      <c r="C129" s="101" t="b">
        <f ca="1">OR(AND(ISNUMBER(SEARCH(B128,H2)),G2&gt;F2),(AND(ISNUMBER(SEARCH(B129,H2)),G2&lt;F2)))</f>
        <v>0</v>
      </c>
      <c r="E129" s="101" t="str">
        <f ca="1">IF(ISNA(VLOOKUP(B129,I3:I9,1,FALSE)), "FALSE", "TRUE")</f>
        <v>FALSE</v>
      </c>
      <c r="L129" s="101" t="s">
        <v>664</v>
      </c>
    </row>
    <row r="130" spans="1:12">
      <c r="A130" s="101" t="s">
        <v>665</v>
      </c>
      <c r="B130" s="103" t="s">
        <v>275</v>
      </c>
      <c r="C130" s="101" t="b">
        <f ca="1">OR(AND(ISNUMBER(SEARCH(B129,H2)),G2&gt;F2),(AND(ISNUMBER(SEARCH(B130,H2)),G2&lt;F2)))</f>
        <v>0</v>
      </c>
      <c r="E130" s="101" t="str">
        <f ca="1">IF(ISNA(VLOOKUP(B130,I3:I9,1,FALSE)), "FALSE", "TRUE")</f>
        <v>FALSE</v>
      </c>
      <c r="L130" s="101" t="s">
        <v>665</v>
      </c>
    </row>
    <row r="131" spans="1:12">
      <c r="A131" s="101" t="s">
        <v>666</v>
      </c>
      <c r="B131" s="103" t="s">
        <v>276</v>
      </c>
      <c r="C131" s="101" t="b">
        <f ca="1">OR(AND(ISNUMBER(SEARCH(B130,H2)),G2&gt;F2),(AND(ISNUMBER(SEARCH(B131,H2)),G2&lt;F2)))</f>
        <v>0</v>
      </c>
      <c r="E131" s="101" t="str">
        <f ca="1">IF(ISNA(VLOOKUP(B131,I3:I9,1,FALSE)), "FALSE", "TRUE")</f>
        <v>FALSE</v>
      </c>
      <c r="L131" s="101" t="s">
        <v>666</v>
      </c>
    </row>
    <row r="132" spans="1:12">
      <c r="A132" s="101" t="s">
        <v>667</v>
      </c>
      <c r="B132" s="103" t="s">
        <v>277</v>
      </c>
      <c r="C132" s="101" t="b">
        <f ca="1">OR(AND(ISNUMBER(SEARCH(B131,H2)),G2&gt;F2),(AND(ISNUMBER(SEARCH(B132,H2)),G2&lt;F2)))</f>
        <v>0</v>
      </c>
      <c r="E132" s="101" t="str">
        <f ca="1">IF(ISNA(VLOOKUP(B132,I3:I9,1,FALSE)), "FALSE", "TRUE")</f>
        <v>FALSE</v>
      </c>
      <c r="L132" s="101" t="s">
        <v>667</v>
      </c>
    </row>
    <row r="133" spans="1:12">
      <c r="A133" s="101" t="s">
        <v>668</v>
      </c>
      <c r="B133" s="103" t="s">
        <v>278</v>
      </c>
      <c r="C133" s="101" t="b">
        <f ca="1">OR(AND(ISNUMBER(SEARCH(B132,H2)),G2&gt;F2),(AND(ISNUMBER(SEARCH(B133,H2)),G2&lt;F2)))</f>
        <v>0</v>
      </c>
      <c r="E133" s="101" t="str">
        <f ca="1">IF(ISNA(VLOOKUP(B133,I3:I9,1,FALSE)), "FALSE", "TRUE")</f>
        <v>FALSE</v>
      </c>
      <c r="L133" s="101" t="s">
        <v>668</v>
      </c>
    </row>
    <row r="134" spans="1:12">
      <c r="A134" s="101" t="s">
        <v>669</v>
      </c>
      <c r="B134" s="103" t="s">
        <v>279</v>
      </c>
      <c r="C134" s="101" t="b">
        <f ca="1">OR(AND(ISNUMBER(SEARCH(B133,H2)),G2&gt;F2),(AND(ISNUMBER(SEARCH(B134,H2)),G2&lt;F2)))</f>
        <v>0</v>
      </c>
      <c r="E134" s="101" t="str">
        <f ca="1">IF(ISNA(VLOOKUP(B134,I3:I9,1,FALSE)), "FALSE", "TRUE")</f>
        <v>FALSE</v>
      </c>
      <c r="L134" s="101" t="s">
        <v>669</v>
      </c>
    </row>
    <row r="135" spans="1:12">
      <c r="A135" s="101" t="s">
        <v>670</v>
      </c>
      <c r="B135" s="103" t="s">
        <v>280</v>
      </c>
      <c r="C135" s="101" t="b">
        <f ca="1">OR(AND(ISNUMBER(SEARCH(B134,H2)),G2&gt;F2),(AND(ISNUMBER(SEARCH(B135,H2)),G2&lt;F2)))</f>
        <v>0</v>
      </c>
      <c r="E135" s="101" t="str">
        <f ca="1">IF(ISNA(VLOOKUP(B135,I3:I9,1,FALSE)), "FALSE", "TRUE")</f>
        <v>FALSE</v>
      </c>
      <c r="L135" s="101" t="s">
        <v>670</v>
      </c>
    </row>
    <row r="136" spans="1:12">
      <c r="A136" s="101" t="s">
        <v>671</v>
      </c>
      <c r="B136" s="103" t="s">
        <v>281</v>
      </c>
      <c r="C136" s="101" t="b">
        <f ca="1">OR(AND(ISNUMBER(SEARCH(B135,H2)),G2&gt;F2),(AND(ISNUMBER(SEARCH(B136,H2)),G2&lt;F2)))</f>
        <v>0</v>
      </c>
      <c r="D136" s="103" t="s">
        <v>936</v>
      </c>
      <c r="E136" s="101" t="str">
        <f ca="1">IF(ISNA(VLOOKUP(B136,I3:I9,1,FALSE)), "FALSE", "TRUE")</f>
        <v>FALSE</v>
      </c>
      <c r="J136" s="103" t="s">
        <v>915</v>
      </c>
      <c r="L136" s="101" t="s">
        <v>671</v>
      </c>
    </row>
    <row r="137" spans="1:12">
      <c r="A137" s="101" t="s">
        <v>672</v>
      </c>
      <c r="B137" s="103" t="s">
        <v>282</v>
      </c>
      <c r="C137" s="101" t="b">
        <f ca="1">OR(AND(ISNUMBER(SEARCH(B136,H2)),G2&gt;F2),(AND(ISNUMBER(SEARCH(B137,H2)),G2&lt;F2)))</f>
        <v>0</v>
      </c>
      <c r="E137" s="101" t="str">
        <f ca="1">IF(ISNA(VLOOKUP(B137,I3:I9,1,FALSE)), "FALSE", "TRUE")</f>
        <v>FALSE</v>
      </c>
      <c r="L137" s="101" t="s">
        <v>672</v>
      </c>
    </row>
    <row r="138" spans="1:12">
      <c r="A138" s="101" t="s">
        <v>673</v>
      </c>
      <c r="B138" s="103" t="s">
        <v>283</v>
      </c>
      <c r="C138" s="101" t="b">
        <f ca="1">OR(AND(ISNUMBER(SEARCH(B137,H2)),G2&gt;F2),(AND(ISNUMBER(SEARCH(B138,H2)),G2&lt;F2)))</f>
        <v>0</v>
      </c>
      <c r="E138" s="101" t="str">
        <f ca="1">IF(ISNA(VLOOKUP(B138,I3:I9,1,FALSE)), "FALSE", "TRUE")</f>
        <v>FALSE</v>
      </c>
      <c r="L138" s="101" t="s">
        <v>673</v>
      </c>
    </row>
    <row r="139" spans="1:12">
      <c r="A139" s="101" t="s">
        <v>674</v>
      </c>
      <c r="B139" s="103" t="s">
        <v>284</v>
      </c>
      <c r="C139" s="101" t="b">
        <f ca="1">OR(AND(ISNUMBER(SEARCH(B138,H2)),G2&gt;F2),(AND(ISNUMBER(SEARCH(B139,H2)),G2&lt;F2)))</f>
        <v>0</v>
      </c>
      <c r="E139" s="101" t="str">
        <f ca="1">IF(ISNA(VLOOKUP(B139,I3:I9,1,FALSE)), "FALSE", "TRUE")</f>
        <v>FALSE</v>
      </c>
      <c r="L139" s="101" t="s">
        <v>674</v>
      </c>
    </row>
    <row r="140" spans="1:12">
      <c r="A140" s="101" t="s">
        <v>675</v>
      </c>
      <c r="B140" s="103" t="s">
        <v>285</v>
      </c>
      <c r="C140" s="101" t="b">
        <f ca="1">OR(AND(ISNUMBER(SEARCH(B139,H2)),G2&gt;F2),(AND(ISNUMBER(SEARCH(B140,H2)),G2&lt;F2)))</f>
        <v>0</v>
      </c>
      <c r="E140" s="101" t="str">
        <f ca="1">IF(ISNA(VLOOKUP(B140,I3:I9,1,FALSE)), "FALSE", "TRUE")</f>
        <v>FALSE</v>
      </c>
      <c r="L140" s="101" t="s">
        <v>675</v>
      </c>
    </row>
    <row r="141" spans="1:12">
      <c r="A141" s="101" t="s">
        <v>676</v>
      </c>
      <c r="B141" s="103" t="s">
        <v>286</v>
      </c>
      <c r="C141" s="101" t="b">
        <f ca="1">OR(AND(ISNUMBER(SEARCH(B140,H2)),G2&gt;F2),(AND(ISNUMBER(SEARCH(B141,H2)),G2&lt;F2)))</f>
        <v>0</v>
      </c>
      <c r="E141" s="101" t="str">
        <f ca="1">IF(ISNA(VLOOKUP(B141,I3:I9,1,FALSE)), "FALSE", "TRUE")</f>
        <v>FALSE</v>
      </c>
      <c r="L141" s="101" t="s">
        <v>676</v>
      </c>
    </row>
    <row r="142" spans="1:12">
      <c r="A142" s="101" t="s">
        <v>677</v>
      </c>
      <c r="B142" s="103" t="s">
        <v>287</v>
      </c>
      <c r="C142" s="101" t="b">
        <f ca="1">OR(AND(ISNUMBER(SEARCH(B141,H2)),G2&gt;F2),(AND(ISNUMBER(SEARCH(B142,H2)),G2&lt;F2)))</f>
        <v>0</v>
      </c>
      <c r="E142" s="101" t="str">
        <f ca="1">IF(ISNA(VLOOKUP(B142,I3:I9,1,FALSE)), "FALSE", "TRUE")</f>
        <v>FALSE</v>
      </c>
      <c r="L142" s="101" t="s">
        <v>677</v>
      </c>
    </row>
    <row r="143" spans="1:12">
      <c r="A143" s="101" t="s">
        <v>678</v>
      </c>
      <c r="B143" s="103" t="s">
        <v>288</v>
      </c>
      <c r="C143" s="101" t="b">
        <f ca="1">OR(AND(ISNUMBER(SEARCH(B142,H2)),G2&gt;F2),(AND(ISNUMBER(SEARCH(B143,H2)),G2&lt;F2)))</f>
        <v>0</v>
      </c>
      <c r="E143" s="101" t="str">
        <f ca="1">IF(ISNA(VLOOKUP(B143,I3:I9,1,FALSE)), "FALSE", "TRUE")</f>
        <v>FALSE</v>
      </c>
      <c r="L143" s="101" t="s">
        <v>678</v>
      </c>
    </row>
    <row r="144" spans="1:12">
      <c r="A144" s="101" t="s">
        <v>679</v>
      </c>
      <c r="B144" s="103" t="s">
        <v>289</v>
      </c>
      <c r="C144" s="101" t="b">
        <f ca="1">OR(AND(ISNUMBER(SEARCH(B143,H2)),G2&gt;F2),(AND(ISNUMBER(SEARCH(B144,H2)),G2&lt;F2)))</f>
        <v>0</v>
      </c>
      <c r="E144" s="101" t="str">
        <f ca="1">IF(ISNA(VLOOKUP(B144,I3:I9,1,FALSE)), "FALSE", "TRUE")</f>
        <v>FALSE</v>
      </c>
      <c r="L144" s="101" t="s">
        <v>679</v>
      </c>
    </row>
    <row r="145" spans="1:12">
      <c r="A145" s="101" t="s">
        <v>680</v>
      </c>
      <c r="B145" s="103" t="s">
        <v>290</v>
      </c>
      <c r="C145" s="101" t="b">
        <f ca="1">OR(AND(ISNUMBER(SEARCH(B144,H2)),G2&gt;F2),(AND(ISNUMBER(SEARCH(B145,H2)),G2&lt;F2)))</f>
        <v>0</v>
      </c>
      <c r="E145" s="101" t="str">
        <f ca="1">IF(ISNA(VLOOKUP(B145,I3:I9,1,FALSE)), "FALSE", "TRUE")</f>
        <v>FALSE</v>
      </c>
      <c r="L145" s="101" t="s">
        <v>680</v>
      </c>
    </row>
    <row r="146" spans="1:12">
      <c r="A146" s="101" t="s">
        <v>681</v>
      </c>
      <c r="B146" s="103" t="s">
        <v>291</v>
      </c>
      <c r="C146" s="101" t="b">
        <f ca="1">OR(AND(ISNUMBER(SEARCH(B145,H2)),G2&gt;F2),(AND(ISNUMBER(SEARCH(B146,H2)),G2&lt;F2)))</f>
        <v>0</v>
      </c>
      <c r="E146" s="101" t="str">
        <f ca="1">IF(ISNA(VLOOKUP(B146,I3:I9,1,FALSE)), "FALSE", "TRUE")</f>
        <v>FALSE</v>
      </c>
      <c r="L146" s="101" t="s">
        <v>681</v>
      </c>
    </row>
    <row r="147" spans="1:12">
      <c r="A147" s="101" t="s">
        <v>682</v>
      </c>
      <c r="B147" s="103" t="s">
        <v>292</v>
      </c>
      <c r="C147" s="101" t="b">
        <f ca="1">OR(AND(ISNUMBER(SEARCH(B146,H2)),G2&gt;F2),(AND(ISNUMBER(SEARCH(B147,H2)),G2&lt;F2)))</f>
        <v>0</v>
      </c>
      <c r="E147" s="101" t="str">
        <f ca="1">IF(ISNA(VLOOKUP(B147,I3:I9,1,FALSE)), "FALSE", "TRUE")</f>
        <v>FALSE</v>
      </c>
      <c r="L147" s="101" t="s">
        <v>682</v>
      </c>
    </row>
    <row r="148" spans="1:12">
      <c r="A148" s="101" t="s">
        <v>683</v>
      </c>
      <c r="B148" s="103" t="s">
        <v>293</v>
      </c>
      <c r="C148" s="101" t="b">
        <f ca="1">OR(AND(ISNUMBER(SEARCH(B147,H2)),G2&gt;F2),(AND(ISNUMBER(SEARCH(B148,H2)),G2&lt;F2)))</f>
        <v>0</v>
      </c>
      <c r="E148" s="101" t="str">
        <f ca="1">IF(ISNA(VLOOKUP(B148,I3:I9,1,FALSE)), "FALSE", "TRUE")</f>
        <v>FALSE</v>
      </c>
      <c r="L148" s="101" t="s">
        <v>683</v>
      </c>
    </row>
    <row r="149" spans="1:12">
      <c r="A149" s="101" t="s">
        <v>684</v>
      </c>
      <c r="B149" s="103" t="s">
        <v>294</v>
      </c>
      <c r="C149" s="101" t="b">
        <f ca="1">OR(AND(ISNUMBER(SEARCH(B148,H2)),G2&gt;F2),(AND(ISNUMBER(SEARCH(B149,H2)),G2&lt;F2)))</f>
        <v>0</v>
      </c>
      <c r="E149" s="101" t="str">
        <f ca="1">IF(ISNA(VLOOKUP(B149,I3:I9,1,FALSE)), "FALSE", "TRUE")</f>
        <v>FALSE</v>
      </c>
      <c r="L149" s="101" t="s">
        <v>684</v>
      </c>
    </row>
    <row r="150" spans="1:12">
      <c r="A150" s="101" t="s">
        <v>685</v>
      </c>
      <c r="B150" s="103" t="s">
        <v>295</v>
      </c>
      <c r="C150" s="101" t="b">
        <f ca="1">OR(AND(ISNUMBER(SEARCH(B149,H2)),G2&gt;F2),(AND(ISNUMBER(SEARCH(B150,H2)),G2&lt;F2)))</f>
        <v>0</v>
      </c>
      <c r="E150" s="101" t="str">
        <f ca="1">IF(ISNA(VLOOKUP(B150,I3:I9,1,FALSE)), "FALSE", "TRUE")</f>
        <v>FALSE</v>
      </c>
      <c r="L150" s="101" t="s">
        <v>685</v>
      </c>
    </row>
    <row r="151" spans="1:12">
      <c r="A151" s="101" t="s">
        <v>686</v>
      </c>
      <c r="B151" s="103" t="s">
        <v>296</v>
      </c>
      <c r="C151" s="101" t="b">
        <f ca="1">OR(AND(ISNUMBER(SEARCH(B150,H2)),G2&gt;F2),(AND(ISNUMBER(SEARCH(B151,H2)),G2&lt;F2)))</f>
        <v>0</v>
      </c>
      <c r="E151" s="101" t="str">
        <f ca="1">IF(ISNA(VLOOKUP(B151,I3:I9,1,FALSE)), "FALSE", "TRUE")</f>
        <v>FALSE</v>
      </c>
      <c r="L151" s="101" t="s">
        <v>686</v>
      </c>
    </row>
    <row r="152" spans="1:12">
      <c r="A152" s="101" t="s">
        <v>687</v>
      </c>
      <c r="B152" s="103" t="s">
        <v>327</v>
      </c>
      <c r="C152" s="101" t="b">
        <f ca="1">OR(AND(ISNUMBER(SEARCH(B151,H2)),G2&gt;F2),(AND(ISNUMBER(SEARCH(B152,H2)),G2&lt;F2)))</f>
        <v>0</v>
      </c>
      <c r="E152" s="101" t="str">
        <f ca="1">IF(ISNA(VLOOKUP(B152,I3:I9,1,FALSE)), "FALSE", "TRUE")</f>
        <v>FALSE</v>
      </c>
      <c r="L152" s="101" t="s">
        <v>687</v>
      </c>
    </row>
    <row r="153" spans="1:12">
      <c r="A153" s="101" t="s">
        <v>688</v>
      </c>
      <c r="B153" s="103" t="s">
        <v>328</v>
      </c>
      <c r="C153" s="101" t="b">
        <f ca="1">OR(AND(ISNUMBER(SEARCH(B152,H2)),G2&gt;F2),(AND(ISNUMBER(SEARCH(B153,H2)),G2&lt;F2)))</f>
        <v>0</v>
      </c>
      <c r="E153" s="101" t="str">
        <f ca="1">IF(ISNA(VLOOKUP(B153,I3:I9,1,FALSE)), "FALSE", "TRUE")</f>
        <v>FALSE</v>
      </c>
      <c r="L153" s="101" t="s">
        <v>688</v>
      </c>
    </row>
    <row r="154" spans="1:12">
      <c r="A154" s="101" t="s">
        <v>689</v>
      </c>
      <c r="B154" s="103" t="s">
        <v>329</v>
      </c>
      <c r="C154" s="101" t="b">
        <f ca="1">OR(AND(ISNUMBER(SEARCH(B153,H2)),G2&gt;F2),(AND(ISNUMBER(SEARCH(B154,H2)),G2&lt;F2)))</f>
        <v>0</v>
      </c>
      <c r="E154" s="101" t="str">
        <f ca="1">IF(ISNA(VLOOKUP(B154,I3:I9,1,FALSE)), "FALSE", "TRUE")</f>
        <v>FALSE</v>
      </c>
      <c r="L154" s="101" t="s">
        <v>689</v>
      </c>
    </row>
    <row r="155" spans="1:12">
      <c r="A155" s="101" t="s">
        <v>690</v>
      </c>
      <c r="B155" s="103" t="s">
        <v>330</v>
      </c>
      <c r="C155" s="101" t="b">
        <f ca="1">OR(AND(ISNUMBER(SEARCH(B154,H2)),G2&gt;F2),(AND(ISNUMBER(SEARCH(B155,H2)),G2&lt;F2)))</f>
        <v>0</v>
      </c>
      <c r="E155" s="101" t="str">
        <f ca="1">IF(ISNA(VLOOKUP(B155,I3:I9,1,FALSE)), "FALSE", "TRUE")</f>
        <v>FALSE</v>
      </c>
      <c r="L155" s="101" t="s">
        <v>690</v>
      </c>
    </row>
    <row r="156" spans="1:12">
      <c r="A156" s="101" t="s">
        <v>691</v>
      </c>
      <c r="B156" s="103" t="s">
        <v>331</v>
      </c>
      <c r="C156" s="101" t="b">
        <f ca="1">OR(AND(ISNUMBER(SEARCH(B155,H2)),G2&gt;F2),(AND(ISNUMBER(SEARCH(B156,H2)),G2&lt;F2)))</f>
        <v>0</v>
      </c>
      <c r="E156" s="101" t="str">
        <f ca="1">IF(ISNA(VLOOKUP(B156,I3:I9,1,FALSE)), "FALSE", "TRUE")</f>
        <v>FALSE</v>
      </c>
      <c r="L156" s="101" t="s">
        <v>691</v>
      </c>
    </row>
    <row r="157" spans="1:12">
      <c r="A157" s="101" t="s">
        <v>692</v>
      </c>
      <c r="B157" s="103" t="s">
        <v>332</v>
      </c>
      <c r="C157" s="101" t="b">
        <f ca="1">OR(AND(ISNUMBER(SEARCH(B156,H2)),G2&gt;F2),(AND(ISNUMBER(SEARCH(B157,H2)),G2&lt;F2)))</f>
        <v>0</v>
      </c>
      <c r="E157" s="101" t="str">
        <f ca="1">IF(ISNA(VLOOKUP(B157,I3:I9,1,FALSE)), "FALSE", "TRUE")</f>
        <v>FALSE</v>
      </c>
      <c r="L157" s="101" t="s">
        <v>692</v>
      </c>
    </row>
    <row r="158" spans="1:12">
      <c r="A158" s="101" t="s">
        <v>693</v>
      </c>
      <c r="B158" s="103" t="s">
        <v>333</v>
      </c>
      <c r="C158" s="101" t="b">
        <f ca="1">OR(AND(ISNUMBER(SEARCH(B157,H2)),G2&gt;F2),(AND(ISNUMBER(SEARCH(B158,H2)),G2&lt;F2)))</f>
        <v>0</v>
      </c>
      <c r="E158" s="101" t="str">
        <f ca="1">IF(ISNA(VLOOKUP(B158,I3:I9,1,FALSE)), "FALSE", "TRUE")</f>
        <v>FALSE</v>
      </c>
      <c r="L158" s="101" t="s">
        <v>693</v>
      </c>
    </row>
    <row r="159" spans="1:12">
      <c r="A159" s="101" t="s">
        <v>694</v>
      </c>
      <c r="B159" s="103" t="s">
        <v>334</v>
      </c>
      <c r="C159" s="101" t="b">
        <f ca="1">OR(AND(ISNUMBER(SEARCH(B158,H2)),G2&gt;F2),(AND(ISNUMBER(SEARCH(B159,H2)),G2&lt;F2)))</f>
        <v>0</v>
      </c>
      <c r="E159" s="101" t="str">
        <f ca="1">IF(ISNA(VLOOKUP(B159,I3:I9,1,FALSE)), "FALSE", "TRUE")</f>
        <v>FALSE</v>
      </c>
      <c r="L159" s="101" t="s">
        <v>694</v>
      </c>
    </row>
    <row r="160" spans="1:12">
      <c r="A160" s="101" t="s">
        <v>695</v>
      </c>
      <c r="B160" s="103" t="s">
        <v>335</v>
      </c>
      <c r="C160" s="101" t="b">
        <f ca="1">OR(AND(ISNUMBER(SEARCH(B159,H2)),G2&gt;F2),(AND(ISNUMBER(SEARCH(B160,H2)),G2&lt;F2)))</f>
        <v>0</v>
      </c>
      <c r="E160" s="101" t="str">
        <f ca="1">IF(ISNA(VLOOKUP(B160,I3:I9,1,FALSE)), "FALSE", "TRUE")</f>
        <v>FALSE</v>
      </c>
      <c r="L160" s="101" t="s">
        <v>695</v>
      </c>
    </row>
    <row r="161" spans="1:12">
      <c r="A161" s="101" t="s">
        <v>696</v>
      </c>
      <c r="B161" s="103" t="s">
        <v>336</v>
      </c>
      <c r="C161" s="101" t="b">
        <f ca="1">OR(AND(ISNUMBER(SEARCH(B160,H2)),G2&gt;F2),(AND(ISNUMBER(SEARCH(B161,H2)),G2&lt;F2)))</f>
        <v>0</v>
      </c>
      <c r="E161" s="101" t="str">
        <f ca="1">IF(ISNA(VLOOKUP(B161,I3:I9,1,FALSE)), "FALSE", "TRUE")</f>
        <v>FALSE</v>
      </c>
      <c r="L161" s="101" t="s">
        <v>696</v>
      </c>
    </row>
    <row r="162" spans="1:12">
      <c r="A162" s="101" t="s">
        <v>697</v>
      </c>
      <c r="B162" s="103" t="s">
        <v>337</v>
      </c>
      <c r="C162" s="101" t="b">
        <f ca="1">OR(AND(ISNUMBER(SEARCH(B161,H2)),G2&gt;F2),(AND(ISNUMBER(SEARCH(B162,H2)),G2&lt;F2)))</f>
        <v>0</v>
      </c>
      <c r="E162" s="101" t="str">
        <f ca="1">IF(ISNA(VLOOKUP(B162,I3:I9,1,FALSE)), "FALSE", "TRUE")</f>
        <v>FALSE</v>
      </c>
      <c r="L162" s="101" t="s">
        <v>697</v>
      </c>
    </row>
    <row r="163" spans="1:12">
      <c r="A163" s="101" t="s">
        <v>698</v>
      </c>
      <c r="B163" s="103" t="s">
        <v>338</v>
      </c>
      <c r="C163" s="101" t="b">
        <f ca="1">OR(AND(ISNUMBER(SEARCH(B162,H2)),G2&gt;F2),(AND(ISNUMBER(SEARCH(B163,H2)),G2&lt;F2)))</f>
        <v>0</v>
      </c>
      <c r="E163" s="101" t="str">
        <f ca="1">IF(ISNA(VLOOKUP(B163,I3:I9,1,FALSE)), "FALSE", "TRUE")</f>
        <v>FALSE</v>
      </c>
      <c r="L163" s="101" t="s">
        <v>698</v>
      </c>
    </row>
    <row r="164" spans="1:12">
      <c r="A164" s="101" t="s">
        <v>699</v>
      </c>
      <c r="B164" s="103" t="s">
        <v>339</v>
      </c>
      <c r="C164" s="101" t="b">
        <f ca="1">OR(AND(ISNUMBER(SEARCH(B163,H2)),G2&gt;F2),(AND(ISNUMBER(SEARCH(B164,H2)),G2&lt;F2)))</f>
        <v>0</v>
      </c>
      <c r="D164" s="103" t="s">
        <v>937</v>
      </c>
      <c r="E164" s="101" t="str">
        <f ca="1">IF(ISNA(VLOOKUP(B164,I3:I9,1,FALSE)), "FALSE", "TRUE")</f>
        <v>FALSE</v>
      </c>
      <c r="J164" s="103" t="s">
        <v>916</v>
      </c>
      <c r="L164" s="101" t="s">
        <v>699</v>
      </c>
    </row>
    <row r="165" spans="1:12">
      <c r="A165" s="101" t="s">
        <v>700</v>
      </c>
      <c r="B165" s="103" t="s">
        <v>340</v>
      </c>
      <c r="C165" s="101" t="b">
        <f ca="1">OR(AND(ISNUMBER(SEARCH(B164,H2)),G2&gt;F2),(AND(ISNUMBER(SEARCH(B165,H2)),G2&lt;F2)))</f>
        <v>0</v>
      </c>
      <c r="D165" s="103" t="s">
        <v>937</v>
      </c>
      <c r="E165" s="101" t="str">
        <f ca="1">IF(ISNA(VLOOKUP(B165,I3:I9,1,FALSE)), "FALSE", "TRUE")</f>
        <v>FALSE</v>
      </c>
      <c r="J165" s="103" t="s">
        <v>917</v>
      </c>
      <c r="L165" s="101" t="s">
        <v>700</v>
      </c>
    </row>
    <row r="166" spans="1:12">
      <c r="A166" s="101" t="s">
        <v>701</v>
      </c>
      <c r="B166" s="103" t="s">
        <v>341</v>
      </c>
      <c r="C166" s="101" t="b">
        <f ca="1">OR(AND(ISNUMBER(SEARCH(B165,H2)),G2&gt;F2),(AND(ISNUMBER(SEARCH(B166,H2)),G2&lt;F2)))</f>
        <v>0</v>
      </c>
      <c r="D166" s="103" t="s">
        <v>937</v>
      </c>
      <c r="E166" s="101" t="str">
        <f ca="1">IF(ISNA(VLOOKUP(B166,I3:I9,1,FALSE)), "FALSE", "TRUE")</f>
        <v>FALSE</v>
      </c>
      <c r="J166" s="103" t="s">
        <v>918</v>
      </c>
      <c r="L166" s="101" t="s">
        <v>701</v>
      </c>
    </row>
    <row r="167" spans="1:12">
      <c r="A167" s="101" t="s">
        <v>702</v>
      </c>
      <c r="B167" s="103" t="s">
        <v>342</v>
      </c>
      <c r="C167" s="101" t="b">
        <f ca="1">OR(AND(ISNUMBER(SEARCH(B166,H2)),G2&gt;F2),(AND(ISNUMBER(SEARCH(B167,H2)),G2&lt;F2)))</f>
        <v>0</v>
      </c>
      <c r="E167" s="101" t="str">
        <f ca="1">IF(ISNA(VLOOKUP(B167,I3:I9,1,FALSE)), "FALSE", "TRUE")</f>
        <v>FALSE</v>
      </c>
      <c r="L167" s="101" t="s">
        <v>702</v>
      </c>
    </row>
    <row r="168" spans="1:12">
      <c r="A168" s="101" t="s">
        <v>703</v>
      </c>
      <c r="B168" s="103" t="s">
        <v>343</v>
      </c>
      <c r="C168" s="101" t="b">
        <f ca="1">OR(AND(ISNUMBER(SEARCH(B167,H2)),G2&gt;F2),(AND(ISNUMBER(SEARCH(B168,H2)),G2&lt;F2)))</f>
        <v>0</v>
      </c>
      <c r="E168" s="101" t="str">
        <f ca="1">IF(ISNA(VLOOKUP(B168,I3:I9,1,FALSE)), "FALSE", "TRUE")</f>
        <v>FALSE</v>
      </c>
      <c r="L168" s="101" t="s">
        <v>703</v>
      </c>
    </row>
    <row r="169" spans="1:12">
      <c r="A169" s="101" t="s">
        <v>704</v>
      </c>
      <c r="B169" s="103" t="s">
        <v>344</v>
      </c>
      <c r="C169" s="101" t="b">
        <f ca="1">OR(AND(ISNUMBER(SEARCH(B168,H2)),G2&gt;F2),(AND(ISNUMBER(SEARCH(B169,H2)),G2&lt;F2)))</f>
        <v>0</v>
      </c>
      <c r="E169" s="101" t="str">
        <f ca="1">IF(ISNA(VLOOKUP(B169,I3:I9,1,FALSE)), "FALSE", "TRUE")</f>
        <v>FALSE</v>
      </c>
      <c r="L169" s="101" t="s">
        <v>704</v>
      </c>
    </row>
    <row r="170" spans="1:12">
      <c r="A170" s="101" t="s">
        <v>705</v>
      </c>
      <c r="B170" s="103" t="s">
        <v>345</v>
      </c>
      <c r="C170" s="101" t="b">
        <f ca="1">OR(AND(ISNUMBER(SEARCH(B169,H2)),G2&gt;F2),(AND(ISNUMBER(SEARCH(B170,H2)),G2&lt;F2)))</f>
        <v>0</v>
      </c>
      <c r="E170" s="101" t="str">
        <f ca="1">IF(ISNA(VLOOKUP(B170,I3:I9,1,FALSE)), "FALSE", "TRUE")</f>
        <v>FALSE</v>
      </c>
      <c r="L170" s="101" t="s">
        <v>705</v>
      </c>
    </row>
    <row r="171" spans="1:12">
      <c r="A171" s="101" t="s">
        <v>706</v>
      </c>
      <c r="B171" s="103" t="s">
        <v>346</v>
      </c>
      <c r="C171" s="101" t="b">
        <f ca="1">OR(AND(ISNUMBER(SEARCH(B170,H2)),G2&gt;F2),(AND(ISNUMBER(SEARCH(B171,H2)),G2&lt;F2)))</f>
        <v>0</v>
      </c>
      <c r="E171" s="101" t="str">
        <f ca="1">IF(ISNA(VLOOKUP(B171,I3:I9,1,FALSE)), "FALSE", "TRUE")</f>
        <v>FALSE</v>
      </c>
      <c r="L171" s="101" t="s">
        <v>706</v>
      </c>
    </row>
    <row r="172" spans="1:12">
      <c r="A172" s="101" t="s">
        <v>707</v>
      </c>
      <c r="B172" s="103" t="s">
        <v>347</v>
      </c>
      <c r="C172" s="101" t="b">
        <f ca="1">OR(AND(ISNUMBER(SEARCH(B171,H2)),G2&gt;F2),(AND(ISNUMBER(SEARCH(B172,H2)),G2&lt;F2)))</f>
        <v>0</v>
      </c>
      <c r="E172" s="101" t="str">
        <f ca="1">IF(ISNA(VLOOKUP(B172,I3:I9,1,FALSE)), "FALSE", "TRUE")</f>
        <v>FALSE</v>
      </c>
      <c r="L172" s="101" t="s">
        <v>707</v>
      </c>
    </row>
    <row r="173" spans="1:12">
      <c r="A173" s="101" t="s">
        <v>708</v>
      </c>
      <c r="B173" s="103" t="s">
        <v>348</v>
      </c>
      <c r="C173" s="101" t="b">
        <f ca="1">OR(AND(ISNUMBER(SEARCH(B172,H2)),G2&gt;F2),(AND(ISNUMBER(SEARCH(B173,H2)),G2&lt;F2)))</f>
        <v>0</v>
      </c>
      <c r="E173" s="101" t="str">
        <f ca="1">IF(ISNA(VLOOKUP(B173,I3:I9,1,FALSE)), "FALSE", "TRUE")</f>
        <v>FALSE</v>
      </c>
      <c r="L173" s="101" t="s">
        <v>708</v>
      </c>
    </row>
    <row r="174" spans="1:12">
      <c r="A174" s="101" t="s">
        <v>709</v>
      </c>
      <c r="B174" s="103" t="s">
        <v>349</v>
      </c>
      <c r="C174" s="101" t="b">
        <f ca="1">OR(AND(ISNUMBER(SEARCH(B173,H2)),G2&gt;F2),(AND(ISNUMBER(SEARCH(B174,H2)),G2&lt;F2)))</f>
        <v>0</v>
      </c>
      <c r="E174" s="101" t="str">
        <f ca="1">IF(ISNA(VLOOKUP(B174,I3:I9,1,FALSE)), "FALSE", "TRUE")</f>
        <v>FALSE</v>
      </c>
      <c r="L174" s="101" t="s">
        <v>709</v>
      </c>
    </row>
    <row r="175" spans="1:12">
      <c r="A175" s="101" t="s">
        <v>710</v>
      </c>
      <c r="B175" s="103" t="s">
        <v>350</v>
      </c>
      <c r="C175" s="101" t="b">
        <f ca="1">OR(AND(ISNUMBER(SEARCH(B174,H2)),G2&gt;F2),(AND(ISNUMBER(SEARCH(B175,H2)),G2&lt;F2)))</f>
        <v>0</v>
      </c>
      <c r="E175" s="101" t="str">
        <f ca="1">IF(ISNA(VLOOKUP(B175,I3:I9,1,FALSE)), "FALSE", "TRUE")</f>
        <v>FALSE</v>
      </c>
      <c r="L175" s="101" t="s">
        <v>710</v>
      </c>
    </row>
    <row r="176" spans="1:12">
      <c r="A176" s="101" t="s">
        <v>711</v>
      </c>
      <c r="B176" s="103" t="s">
        <v>351</v>
      </c>
      <c r="C176" s="101" t="b">
        <f ca="1">OR(AND(ISNUMBER(SEARCH(B175,H2)),G2&gt;F2),(AND(ISNUMBER(SEARCH(B176,H2)),G2&lt;F2)))</f>
        <v>0</v>
      </c>
      <c r="E176" s="101" t="str">
        <f ca="1">IF(ISNA(VLOOKUP(B176,I3:I9,1,FALSE)), "FALSE", "TRUE")</f>
        <v>FALSE</v>
      </c>
      <c r="L176" s="101" t="s">
        <v>711</v>
      </c>
    </row>
    <row r="177" spans="1:12">
      <c r="A177" s="101" t="s">
        <v>712</v>
      </c>
      <c r="B177" s="103" t="s">
        <v>352</v>
      </c>
      <c r="C177" s="101" t="b">
        <f ca="1">OR(AND(ISNUMBER(SEARCH(B176,H2)),G2&gt;F2),(AND(ISNUMBER(SEARCH(B177,H2)),G2&lt;F2)))</f>
        <v>0</v>
      </c>
      <c r="E177" s="101" t="str">
        <f ca="1">IF(ISNA(VLOOKUP(B177,I3:I9,1,FALSE)), "FALSE", "TRUE")</f>
        <v>FALSE</v>
      </c>
      <c r="L177" s="101" t="s">
        <v>712</v>
      </c>
    </row>
    <row r="178" spans="1:12">
      <c r="A178" s="101" t="s">
        <v>713</v>
      </c>
      <c r="B178" s="103" t="s">
        <v>353</v>
      </c>
      <c r="C178" s="101" t="b">
        <f ca="1">OR(AND(ISNUMBER(SEARCH(B177,H2)),G2&gt;F2),(AND(ISNUMBER(SEARCH(B178,H2)),G2&lt;F2)))</f>
        <v>0</v>
      </c>
      <c r="E178" s="101" t="str">
        <f ca="1">IF(ISNA(VLOOKUP(B178,I3:I9,1,FALSE)), "FALSE", "TRUE")</f>
        <v>FALSE</v>
      </c>
      <c r="L178" s="101" t="s">
        <v>713</v>
      </c>
    </row>
    <row r="179" spans="1:12">
      <c r="A179" s="101" t="s">
        <v>714</v>
      </c>
      <c r="B179" s="103" t="s">
        <v>354</v>
      </c>
      <c r="C179" s="101" t="b">
        <f ca="1">OR(AND(ISNUMBER(SEARCH(B178,H2)),G2&gt;F2),(AND(ISNUMBER(SEARCH(B179,H2)),G2&lt;F2)))</f>
        <v>0</v>
      </c>
      <c r="E179" s="101" t="str">
        <f ca="1">IF(ISNA(VLOOKUP(B179,I3:I9,1,FALSE)), "FALSE", "TRUE")</f>
        <v>FALSE</v>
      </c>
      <c r="L179" s="101" t="s">
        <v>714</v>
      </c>
    </row>
    <row r="180" spans="1:12">
      <c r="A180" s="101" t="s">
        <v>715</v>
      </c>
      <c r="B180" s="103" t="s">
        <v>355</v>
      </c>
      <c r="C180" s="101" t="b">
        <f ca="1">OR(AND(ISNUMBER(SEARCH(B179,H2)),G2&gt;F2),(AND(ISNUMBER(SEARCH(B180,H2)),G2&lt;F2)))</f>
        <v>0</v>
      </c>
      <c r="E180" s="101" t="str">
        <f ca="1">IF(ISNA(VLOOKUP(B180,I3:I9,1,FALSE)), "FALSE", "TRUE")</f>
        <v>FALSE</v>
      </c>
      <c r="L180" s="101" t="s">
        <v>715</v>
      </c>
    </row>
    <row r="181" spans="1:12">
      <c r="A181" s="101" t="s">
        <v>716</v>
      </c>
      <c r="B181" s="103" t="s">
        <v>356</v>
      </c>
      <c r="C181" s="101" t="b">
        <f ca="1">OR(AND(ISNUMBER(SEARCH(B180,H2)),G2&gt;F2),(AND(ISNUMBER(SEARCH(B181,H2)),G2&lt;F2)))</f>
        <v>0</v>
      </c>
      <c r="E181" s="101" t="str">
        <f ca="1">IF(ISNA(VLOOKUP(B181,I3:I9,1,FALSE)), "FALSE", "TRUE")</f>
        <v>FALSE</v>
      </c>
      <c r="L181" s="101" t="s">
        <v>716</v>
      </c>
    </row>
    <row r="182" spans="1:12">
      <c r="A182" s="103" t="s">
        <v>1026</v>
      </c>
      <c r="B182" t="s">
        <v>966</v>
      </c>
      <c r="C182" s="101" t="b">
        <f ca="1">OR(AND(ISNUMBER(SEARCH(B181,H2)),G2&gt;F2),(AND(ISNUMBER(SEARCH(B182,H2)),G2&lt;F2)))</f>
        <v>0</v>
      </c>
      <c r="D182" s="101"/>
      <c r="E182" s="101" t="str">
        <f ca="1">IF(ISNA(VLOOKUP(B182,I3:I9,1,FALSE)), "FALSE", "TRUE")</f>
        <v>FALSE</v>
      </c>
      <c r="L182" s="103" t="s">
        <v>1026</v>
      </c>
    </row>
    <row r="183" spans="1:12">
      <c r="A183" s="103" t="s">
        <v>1027</v>
      </c>
      <c r="B183" s="101" t="s">
        <v>968</v>
      </c>
      <c r="C183" s="101" t="b">
        <f ca="1">OR(AND(ISNUMBER(SEARCH(B182,H2)),G2&gt;F2),(AND(ISNUMBER(SEARCH(B183,H2)),G2&lt;F2)))</f>
        <v>0</v>
      </c>
      <c r="E183" s="101" t="str">
        <f ca="1">IF(ISNA(VLOOKUP(B183,I3:I9,1,FALSE)), "FALSE", "TRUE")</f>
        <v>FALSE</v>
      </c>
      <c r="L183" s="103" t="s">
        <v>1027</v>
      </c>
    </row>
    <row r="184" spans="1:12">
      <c r="A184" s="103" t="s">
        <v>1028</v>
      </c>
      <c r="B184" s="101" t="s">
        <v>969</v>
      </c>
      <c r="C184" s="101" t="b">
        <f ca="1">OR(AND(ISNUMBER(SEARCH(B183,H2)),G2&gt;F2),(AND(ISNUMBER(SEARCH(B184,H2)),G2&lt;F2)))</f>
        <v>0</v>
      </c>
      <c r="E184" s="101" t="str">
        <f ca="1">IF(ISNA(VLOOKUP(B184,I3:I9,1,FALSE)), "FALSE", "TRUE")</f>
        <v>FALSE</v>
      </c>
      <c r="L184" s="103" t="s">
        <v>1028</v>
      </c>
    </row>
    <row r="185" spans="1:12">
      <c r="A185" s="103" t="s">
        <v>1029</v>
      </c>
      <c r="B185" s="101" t="s">
        <v>970</v>
      </c>
      <c r="C185" s="101" t="b">
        <f ca="1">OR(AND(ISNUMBER(SEARCH(B184,H2)),G2&gt;F2),(AND(ISNUMBER(SEARCH(B185,H2)),G2&lt;F2)))</f>
        <v>0</v>
      </c>
      <c r="E185" s="101" t="str">
        <f ca="1">IF(ISNA(VLOOKUP(B185,I3:I9,1,FALSE)), "FALSE", "TRUE")</f>
        <v>FALSE</v>
      </c>
      <c r="L185" s="103" t="s">
        <v>1029</v>
      </c>
    </row>
    <row r="186" spans="1:12">
      <c r="A186" s="103" t="s">
        <v>1030</v>
      </c>
      <c r="B186" s="101" t="s">
        <v>971</v>
      </c>
      <c r="C186" s="101" t="b">
        <f ca="1">OR(AND(ISNUMBER(SEARCH(B185,H2)),G2&gt;F2),(AND(ISNUMBER(SEARCH(B186,H2)),G2&lt;F2)))</f>
        <v>0</v>
      </c>
      <c r="E186" s="101" t="str">
        <f ca="1">IF(ISNA(VLOOKUP(B186,I3:I9,1,FALSE)), "FALSE", "TRUE")</f>
        <v>FALSE</v>
      </c>
      <c r="L186" s="103" t="s">
        <v>1030</v>
      </c>
    </row>
    <row r="187" spans="1:12">
      <c r="A187" s="103" t="s">
        <v>1031</v>
      </c>
      <c r="B187" s="101" t="s">
        <v>972</v>
      </c>
      <c r="C187" s="101" t="b">
        <f ca="1">OR(AND(ISNUMBER(SEARCH(B186,H2)),G2&gt;F2),(AND(ISNUMBER(SEARCH(B187,H2)),G2&lt;F2)))</f>
        <v>0</v>
      </c>
      <c r="E187" s="101" t="str">
        <f ca="1">IF(ISNA(VLOOKUP(B187,I3:I9,1,FALSE)), "FALSE", "TRUE")</f>
        <v>FALSE</v>
      </c>
      <c r="L187" s="103" t="s">
        <v>1031</v>
      </c>
    </row>
    <row r="188" spans="1:12">
      <c r="A188" s="103" t="s">
        <v>1032</v>
      </c>
      <c r="B188" s="101" t="s">
        <v>973</v>
      </c>
      <c r="C188" s="101" t="b">
        <f ca="1">OR(AND(ISNUMBER(SEARCH(B187,H2)),G2&gt;F2),(AND(ISNUMBER(SEARCH(B188,H2)),G2&lt;F2)))</f>
        <v>0</v>
      </c>
      <c r="E188" s="101" t="str">
        <f ca="1">IF(ISNA(VLOOKUP(B188,I3:I9,1,FALSE)), "FALSE", "TRUE")</f>
        <v>FALSE</v>
      </c>
      <c r="L188" s="103" t="s">
        <v>1032</v>
      </c>
    </row>
    <row r="189" spans="1:12">
      <c r="A189" s="103" t="s">
        <v>1033</v>
      </c>
      <c r="B189" s="101" t="s">
        <v>974</v>
      </c>
      <c r="C189" s="101" t="b">
        <f ca="1">OR(AND(ISNUMBER(SEARCH(B188,H2)),G2&gt;F2),(AND(ISNUMBER(SEARCH(B189,H2)),G2&lt;F2)))</f>
        <v>0</v>
      </c>
      <c r="E189" s="101" t="str">
        <f ca="1">IF(ISNA(VLOOKUP(B189,I3:I9,1,FALSE)), "FALSE", "TRUE")</f>
        <v>FALSE</v>
      </c>
      <c r="L189" s="103" t="s">
        <v>1033</v>
      </c>
    </row>
    <row r="190" spans="1:12">
      <c r="A190" s="103" t="s">
        <v>1034</v>
      </c>
      <c r="B190" s="101" t="s">
        <v>975</v>
      </c>
      <c r="C190" s="101" t="b">
        <f ca="1">OR(AND(ISNUMBER(SEARCH(B189,H2)),G2&gt;F2),(AND(ISNUMBER(SEARCH(B190,H2)),G2&lt;F2)))</f>
        <v>0</v>
      </c>
      <c r="E190" s="101" t="str">
        <f ca="1">IF(ISNA(VLOOKUP(B190,I3:I9,1,FALSE)), "FALSE", "TRUE")</f>
        <v>FALSE</v>
      </c>
      <c r="L190" s="103" t="s">
        <v>1034</v>
      </c>
    </row>
    <row r="191" spans="1:12">
      <c r="A191" s="103" t="s">
        <v>1035</v>
      </c>
      <c r="B191" s="101" t="s">
        <v>976</v>
      </c>
      <c r="C191" s="101" t="b">
        <f ca="1">OR(AND(ISNUMBER(SEARCH(B190,H2)),G2&gt;F2),(AND(ISNUMBER(SEARCH(B191,H2)),G2&lt;F2)))</f>
        <v>0</v>
      </c>
      <c r="E191" s="101" t="str">
        <f ca="1">IF(ISNA(VLOOKUP(B191,I3:I9,1,FALSE)), "FALSE", "TRUE")</f>
        <v>FALSE</v>
      </c>
      <c r="L191" s="103" t="s">
        <v>1035</v>
      </c>
    </row>
    <row r="192" spans="1:12">
      <c r="A192" s="103" t="s">
        <v>1036</v>
      </c>
      <c r="B192" t="s">
        <v>977</v>
      </c>
      <c r="C192" s="101" t="b">
        <f ca="1">OR(AND(ISNUMBER(SEARCH(B191,H2)),G2&gt;F2),(AND(ISNUMBER(SEARCH(B192,H2)),G2&lt;F2)))</f>
        <v>0</v>
      </c>
      <c r="E192" s="101" t="str">
        <f ca="1">IF(ISNA(VLOOKUP(B192,I3:I9,1,FALSE)), "FALSE", "TRUE")</f>
        <v>FALSE</v>
      </c>
      <c r="L192" s="103" t="s">
        <v>1036</v>
      </c>
    </row>
    <row r="193" spans="1:12">
      <c r="A193" s="103" t="s">
        <v>1037</v>
      </c>
      <c r="B193" s="101" t="s">
        <v>978</v>
      </c>
      <c r="C193" s="101" t="b">
        <f ca="1">OR(AND(ISNUMBER(SEARCH(B192,H2)),G2&gt;F2),(AND(ISNUMBER(SEARCH(B193,H2)),G2&lt;F2)))</f>
        <v>0</v>
      </c>
      <c r="E193" s="101" t="str">
        <f ca="1">IF(ISNA(VLOOKUP(B193,I3:I9,1,FALSE)), "FALSE", "TRUE")</f>
        <v>FALSE</v>
      </c>
      <c r="L193" s="103" t="s">
        <v>1037</v>
      </c>
    </row>
    <row r="194" spans="1:12">
      <c r="A194" s="103" t="s">
        <v>1038</v>
      </c>
      <c r="B194" s="101" t="s">
        <v>979</v>
      </c>
      <c r="C194" s="101" t="b">
        <f ca="1">OR(AND(ISNUMBER(SEARCH(B193,H2)),G2&gt;F2),(AND(ISNUMBER(SEARCH(B194,H2)),G2&lt;F2)))</f>
        <v>0</v>
      </c>
      <c r="E194" s="101" t="str">
        <f ca="1">IF(ISNA(VLOOKUP(B194,I3:I9,1,FALSE)), "FALSE", "TRUE")</f>
        <v>FALSE</v>
      </c>
      <c r="L194" s="103" t="s">
        <v>1038</v>
      </c>
    </row>
    <row r="195" spans="1:12">
      <c r="A195" s="103" t="s">
        <v>1039</v>
      </c>
      <c r="B195" s="101" t="s">
        <v>980</v>
      </c>
      <c r="C195" s="101" t="b">
        <f ca="1">OR(AND(ISNUMBER(SEARCH(B194,H2)),G2&gt;F2),(AND(ISNUMBER(SEARCH(B195,H2)),G2&lt;F2)))</f>
        <v>0</v>
      </c>
      <c r="E195" s="101" t="str">
        <f ca="1">IF(ISNA(VLOOKUP(B195,I3:I9,1,FALSE)), "FALSE", "TRUE")</f>
        <v>FALSE</v>
      </c>
      <c r="L195" s="103" t="s">
        <v>1039</v>
      </c>
    </row>
    <row r="196" spans="1:12">
      <c r="A196" s="103" t="s">
        <v>1040</v>
      </c>
      <c r="B196" s="101" t="s">
        <v>981</v>
      </c>
      <c r="C196" s="101" t="b">
        <f ca="1">OR(AND(ISNUMBER(SEARCH(B195,H2)),G2&gt;F2),(AND(ISNUMBER(SEARCH(B196,H2)),G2&lt;F2)))</f>
        <v>0</v>
      </c>
      <c r="E196" s="101" t="str">
        <f ca="1">IF(ISNA(VLOOKUP(B196,I3:I9,1,FALSE)), "FALSE", "TRUE")</f>
        <v>FALSE</v>
      </c>
      <c r="L196" s="103" t="s">
        <v>1040</v>
      </c>
    </row>
    <row r="197" spans="1:12">
      <c r="A197" s="103" t="s">
        <v>1041</v>
      </c>
      <c r="B197" s="101" t="s">
        <v>982</v>
      </c>
      <c r="C197" s="101" t="b">
        <f ca="1">OR(AND(ISNUMBER(SEARCH(B196,H2)),G2&gt;F2),(AND(ISNUMBER(SEARCH(B197,H2)),G2&lt;F2)))</f>
        <v>0</v>
      </c>
      <c r="E197" s="101" t="str">
        <f ca="1">IF(ISNA(VLOOKUP(B197,I3:I9,1,FALSE)), "FALSE", "TRUE")</f>
        <v>FALSE</v>
      </c>
      <c r="L197" s="103" t="s">
        <v>1041</v>
      </c>
    </row>
    <row r="198" spans="1:12">
      <c r="A198" s="103" t="s">
        <v>1042</v>
      </c>
      <c r="B198" s="101" t="s">
        <v>983</v>
      </c>
      <c r="C198" s="101" t="b">
        <f ca="1">OR(AND(ISNUMBER(SEARCH(B197,H2)),G2&gt;F2),(AND(ISNUMBER(SEARCH(B198,H2)),G2&lt;F2)))</f>
        <v>0</v>
      </c>
      <c r="E198" s="101" t="str">
        <f ca="1">IF(ISNA(VLOOKUP(B198,I3:I9,1,FALSE)), "FALSE", "TRUE")</f>
        <v>FALSE</v>
      </c>
      <c r="L198" s="103" t="s">
        <v>1042</v>
      </c>
    </row>
    <row r="199" spans="1:12">
      <c r="A199" s="103" t="s">
        <v>1043</v>
      </c>
      <c r="B199" s="101" t="s">
        <v>984</v>
      </c>
      <c r="C199" s="101" t="b">
        <f ca="1">OR(AND(ISNUMBER(SEARCH(B198,H2)),G2&gt;F2),(AND(ISNUMBER(SEARCH(B199,H2)),G2&lt;F2)))</f>
        <v>0</v>
      </c>
      <c r="E199" s="101" t="str">
        <f ca="1">IF(ISNA(VLOOKUP(B199,I3:I9,1,FALSE)), "FALSE", "TRUE")</f>
        <v>FALSE</v>
      </c>
      <c r="L199" s="103" t="s">
        <v>1043</v>
      </c>
    </row>
    <row r="200" spans="1:12">
      <c r="A200" s="103" t="s">
        <v>1044</v>
      </c>
      <c r="B200" s="101" t="s">
        <v>985</v>
      </c>
      <c r="C200" s="101" t="b">
        <f ca="1">OR(AND(ISNUMBER(SEARCH(B199,H2)),G2&gt;F2),(AND(ISNUMBER(SEARCH(B200,H2)),G2&lt;F2)))</f>
        <v>0</v>
      </c>
      <c r="E200" s="101" t="str">
        <f ca="1">IF(ISNA(VLOOKUP(B200,I3:I9,1,FALSE)), "FALSE", "TRUE")</f>
        <v>FALSE</v>
      </c>
      <c r="L200" s="103" t="s">
        <v>1044</v>
      </c>
    </row>
    <row r="201" spans="1:12">
      <c r="A201" s="103" t="s">
        <v>1045</v>
      </c>
      <c r="B201" s="101" t="s">
        <v>986</v>
      </c>
      <c r="C201" s="101" t="b">
        <f ca="1">OR(AND(ISNUMBER(SEARCH(B200,H2)),G2&gt;F2),(AND(ISNUMBER(SEARCH(B201,H2)),G2&lt;F2)))</f>
        <v>0</v>
      </c>
      <c r="E201" s="101" t="str">
        <f ca="1">IF(ISNA(VLOOKUP(B201,I3:I9,1,FALSE)), "FALSE", "TRUE")</f>
        <v>FALSE</v>
      </c>
      <c r="L201" s="103" t="s">
        <v>1045</v>
      </c>
    </row>
    <row r="202" spans="1:12">
      <c r="A202" s="103" t="s">
        <v>1046</v>
      </c>
      <c r="B202" s="101" t="s">
        <v>987</v>
      </c>
      <c r="C202" s="101" t="b">
        <f ca="1">OR(AND(ISNUMBER(SEARCH(B201,H2)),G2&gt;F2),(AND(ISNUMBER(SEARCH(B202,H2)),G2&lt;F2)))</f>
        <v>0</v>
      </c>
      <c r="E202" s="101" t="str">
        <f ca="1">IF(ISNA(VLOOKUP(B202,I3:I9,1,FALSE)), "FALSE", "TRUE")</f>
        <v>FALSE</v>
      </c>
      <c r="L202" s="103" t="s">
        <v>1046</v>
      </c>
    </row>
    <row r="203" spans="1:12">
      <c r="A203" s="103" t="s">
        <v>1047</v>
      </c>
      <c r="B203" s="101" t="s">
        <v>988</v>
      </c>
      <c r="C203" s="101" t="b">
        <f ca="1">OR(AND(ISNUMBER(SEARCH(B202,H2)),G2&gt;F2),(AND(ISNUMBER(SEARCH(B203,H2)),G2&lt;F2)))</f>
        <v>0</v>
      </c>
      <c r="E203" s="101" t="str">
        <f ca="1">IF(ISNA(VLOOKUP(B203,I3:I9,1,FALSE)), "FALSE", "TRUE")</f>
        <v>FALSE</v>
      </c>
      <c r="L203" s="103" t="s">
        <v>1047</v>
      </c>
    </row>
    <row r="204" spans="1:12">
      <c r="A204" s="103" t="s">
        <v>1048</v>
      </c>
      <c r="B204" s="101" t="s">
        <v>989</v>
      </c>
      <c r="C204" s="101" t="b">
        <f ca="1">OR(AND(ISNUMBER(SEARCH(B203,H2)),G2&gt;F2),(AND(ISNUMBER(SEARCH(B204,H2)),G2&lt;F2)))</f>
        <v>0</v>
      </c>
      <c r="E204" s="101" t="str">
        <f ca="1">IF(ISNA(VLOOKUP(B204,I3:I9,1,FALSE)), "FALSE", "TRUE")</f>
        <v>FALSE</v>
      </c>
      <c r="L204" s="103" t="s">
        <v>1048</v>
      </c>
    </row>
    <row r="205" spans="1:12">
      <c r="A205" s="103" t="s">
        <v>1049</v>
      </c>
      <c r="B205" s="101" t="s">
        <v>990</v>
      </c>
      <c r="C205" s="101" t="b">
        <f ca="1">OR(AND(ISNUMBER(SEARCH(B204,H2)),G2&gt;F2),(AND(ISNUMBER(SEARCH(B205,H2)),G2&lt;F2)))</f>
        <v>0</v>
      </c>
      <c r="E205" s="101" t="str">
        <f ca="1">IF(ISNA(VLOOKUP(B205,I3:I9,1,FALSE)), "FALSE", "TRUE")</f>
        <v>FALSE</v>
      </c>
      <c r="L205" s="103" t="s">
        <v>1049</v>
      </c>
    </row>
    <row r="206" spans="1:12">
      <c r="A206" s="103" t="s">
        <v>1050</v>
      </c>
      <c r="B206" s="101" t="s">
        <v>991</v>
      </c>
      <c r="C206" s="101" t="b">
        <f ca="1">OR(AND(ISNUMBER(SEARCH(B205,H2)),G2&gt;F2),(AND(ISNUMBER(SEARCH(B206,H2)),G2&lt;F2)))</f>
        <v>0</v>
      </c>
      <c r="E206" s="101" t="str">
        <f ca="1">IF(ISNA(VLOOKUP(B206,I3:I9,1,FALSE)), "FALSE", "TRUE")</f>
        <v>FALSE</v>
      </c>
      <c r="L206" s="103" t="s">
        <v>1050</v>
      </c>
    </row>
    <row r="207" spans="1:12">
      <c r="A207" s="103" t="s">
        <v>1051</v>
      </c>
      <c r="B207" s="101" t="s">
        <v>992</v>
      </c>
      <c r="C207" s="101" t="b">
        <f ca="1">OR(AND(ISNUMBER(SEARCH(B206,H2)),G2&gt;F2),(AND(ISNUMBER(SEARCH(B207,H2)),G2&lt;F2)))</f>
        <v>0</v>
      </c>
      <c r="E207" s="101" t="str">
        <f ca="1">IF(ISNA(VLOOKUP(B207,I3:I9,1,FALSE)), "FALSE", "TRUE")</f>
        <v>FALSE</v>
      </c>
      <c r="L207" s="103" t="s">
        <v>1051</v>
      </c>
    </row>
    <row r="208" spans="1:12">
      <c r="A208" s="103" t="s">
        <v>1052</v>
      </c>
      <c r="B208" s="101" t="s">
        <v>993</v>
      </c>
      <c r="C208" s="101" t="b">
        <f ca="1">OR(AND(ISNUMBER(SEARCH(B207,H2)),G2&gt;F2),(AND(ISNUMBER(SEARCH(B208,H2)),G2&lt;F2)))</f>
        <v>0</v>
      </c>
      <c r="E208" s="101" t="str">
        <f ca="1">IF(ISNA(VLOOKUP(B208,I3:I9,1,FALSE)), "FALSE", "TRUE")</f>
        <v>FALSE</v>
      </c>
      <c r="L208" s="103" t="s">
        <v>1052</v>
      </c>
    </row>
    <row r="209" spans="1:12">
      <c r="A209" s="103" t="s">
        <v>1053</v>
      </c>
      <c r="B209" s="101" t="s">
        <v>994</v>
      </c>
      <c r="C209" s="101" t="b">
        <f ca="1">OR(AND(ISNUMBER(SEARCH(B208,H2)),G2&gt;F2),(AND(ISNUMBER(SEARCH(B209,H2)),G2&lt;F2)))</f>
        <v>0</v>
      </c>
      <c r="E209" s="101" t="str">
        <f ca="1">IF(ISNA(VLOOKUP(B209,I3:I9,1,FALSE)), "FALSE", "TRUE")</f>
        <v>FALSE</v>
      </c>
      <c r="L209" s="103" t="s">
        <v>1053</v>
      </c>
    </row>
    <row r="210" spans="1:12">
      <c r="A210" s="103" t="s">
        <v>1054</v>
      </c>
      <c r="B210" s="101" t="s">
        <v>995</v>
      </c>
      <c r="C210" s="101" t="b">
        <f ca="1">OR(AND(ISNUMBER(SEARCH(B209,H2)),G2&gt;F2),(AND(ISNUMBER(SEARCH(B210,H2)),G2&lt;F2)))</f>
        <v>0</v>
      </c>
      <c r="E210" s="101" t="str">
        <f ca="1">IF(ISNA(VLOOKUP(B210,I3:I9,1,FALSE)), "FALSE", "TRUE")</f>
        <v>FALSE</v>
      </c>
      <c r="L210" s="103" t="s">
        <v>1054</v>
      </c>
    </row>
    <row r="211" spans="1:12">
      <c r="A211" s="103" t="s">
        <v>1055</v>
      </c>
      <c r="B211" s="101" t="s">
        <v>996</v>
      </c>
      <c r="C211" s="101" t="b">
        <f ca="1">OR(AND(ISNUMBER(SEARCH(B210,H2)),G2&gt;F2),(AND(ISNUMBER(SEARCH(B211,H2)),G2&lt;F2)))</f>
        <v>0</v>
      </c>
      <c r="E211" s="101" t="str">
        <f ca="1">IF(ISNA(VLOOKUP(B211,I3:I9,1,FALSE)), "FALSE", "TRUE")</f>
        <v>FALSE</v>
      </c>
      <c r="L211" s="103" t="s">
        <v>1055</v>
      </c>
    </row>
    <row r="212" spans="1:12">
      <c r="A212" s="103" t="s">
        <v>1056</v>
      </c>
      <c r="B212" s="103" t="s">
        <v>967</v>
      </c>
      <c r="C212" s="101" t="b">
        <f ca="1">OR(AND(ISNUMBER(SEARCH(B211,H2)),G2&gt;F2),(AND(ISNUMBER(SEARCH(B212,H2)),G2&lt;F2)))</f>
        <v>0</v>
      </c>
      <c r="E212" s="101" t="str">
        <f ca="1">IF(ISNA(VLOOKUP(B212,I3:I9,1,FALSE)), "FALSE", "TRUE")</f>
        <v>FALSE</v>
      </c>
      <c r="L212" s="103" t="s">
        <v>1056</v>
      </c>
    </row>
    <row r="213" spans="1:12">
      <c r="A213" s="103" t="s">
        <v>1057</v>
      </c>
      <c r="B213" s="103" t="s">
        <v>997</v>
      </c>
      <c r="C213" s="101" t="b">
        <f ca="1">OR(AND(ISNUMBER(SEARCH(B212,H2)),G2&gt;F2),(AND(ISNUMBER(SEARCH(B213,H2)),G2&lt;F2)))</f>
        <v>0</v>
      </c>
      <c r="E213" s="101" t="str">
        <f ca="1">IF(ISNA(VLOOKUP(B213,I3:I9,1,FALSE)), "FALSE", "TRUE")</f>
        <v>FALSE</v>
      </c>
      <c r="L213" s="103" t="s">
        <v>1057</v>
      </c>
    </row>
    <row r="214" spans="1:12">
      <c r="A214" s="103" t="s">
        <v>1058</v>
      </c>
      <c r="B214" s="103" t="s">
        <v>998</v>
      </c>
      <c r="C214" s="101" t="b">
        <f ca="1">OR(AND(ISNUMBER(SEARCH(B213,H2)),G2&gt;F2),(AND(ISNUMBER(SEARCH(B214,H2)),G2&lt;F2)))</f>
        <v>0</v>
      </c>
      <c r="E214" s="101" t="str">
        <f ca="1">IF(ISNA(VLOOKUP(B214,I3:I9,1,FALSE)), "FALSE", "TRUE")</f>
        <v>FALSE</v>
      </c>
      <c r="L214" s="103" t="s">
        <v>1058</v>
      </c>
    </row>
    <row r="215" spans="1:12">
      <c r="A215" s="103" t="s">
        <v>1059</v>
      </c>
      <c r="B215" s="103" t="s">
        <v>999</v>
      </c>
      <c r="C215" s="101" t="b">
        <f ca="1">OR(AND(ISNUMBER(SEARCH(B214,H2)),G2&gt;F2),(AND(ISNUMBER(SEARCH(B215,H2)),G2&lt;F2)))</f>
        <v>0</v>
      </c>
      <c r="E215" s="101" t="str">
        <f ca="1">IF(ISNA(VLOOKUP(B215,I3:I9,1,FALSE)), "FALSE", "TRUE")</f>
        <v>FALSE</v>
      </c>
      <c r="L215" s="103" t="s">
        <v>1059</v>
      </c>
    </row>
    <row r="216" spans="1:12">
      <c r="A216" s="103" t="s">
        <v>1060</v>
      </c>
      <c r="B216" s="103" t="s">
        <v>1000</v>
      </c>
      <c r="C216" s="101" t="b">
        <f ca="1">OR(AND(ISNUMBER(SEARCH(B215,H2)),G2&gt;F2),(AND(ISNUMBER(SEARCH(B216,H2)),G2&lt;F2)))</f>
        <v>0</v>
      </c>
      <c r="E216" s="101" t="str">
        <f ca="1">IF(ISNA(VLOOKUP(B216,I3:I9,1,FALSE)), "FALSE", "TRUE")</f>
        <v>FALSE</v>
      </c>
      <c r="L216" s="103" t="s">
        <v>1060</v>
      </c>
    </row>
    <row r="217" spans="1:12">
      <c r="A217" s="103" t="s">
        <v>1061</v>
      </c>
      <c r="B217" s="103" t="s">
        <v>1001</v>
      </c>
      <c r="C217" s="101" t="b">
        <f ca="1">OR(AND(ISNUMBER(SEARCH(B216,H2)),G2&gt;F2),(AND(ISNUMBER(SEARCH(B217,H2)),G2&lt;F2)))</f>
        <v>0</v>
      </c>
      <c r="E217" s="101" t="str">
        <f ca="1">IF(ISNA(VLOOKUP(B217,I3:I9,1,FALSE)), "FALSE", "TRUE")</f>
        <v>FALSE</v>
      </c>
      <c r="L217" s="103" t="s">
        <v>1061</v>
      </c>
    </row>
    <row r="218" spans="1:12">
      <c r="A218" s="103" t="s">
        <v>1062</v>
      </c>
      <c r="B218" s="103" t="s">
        <v>1002</v>
      </c>
      <c r="C218" s="101" t="b">
        <f ca="1">OR(AND(ISNUMBER(SEARCH(B217,H2)),G2&gt;F2),(AND(ISNUMBER(SEARCH(B218,H2)),G2&lt;F2)))</f>
        <v>0</v>
      </c>
      <c r="E218" s="101" t="str">
        <f ca="1">IF(ISNA(VLOOKUP(B218,I3:I9,1,FALSE)), "FALSE", "TRUE")</f>
        <v>FALSE</v>
      </c>
      <c r="L218" s="103" t="s">
        <v>1062</v>
      </c>
    </row>
    <row r="219" spans="1:12">
      <c r="A219" s="103" t="s">
        <v>1063</v>
      </c>
      <c r="B219" s="103" t="s">
        <v>1003</v>
      </c>
      <c r="C219" s="101" t="b">
        <f ca="1">OR(AND(ISNUMBER(SEARCH(B218,H2)),G2&gt;F2),(AND(ISNUMBER(SEARCH(B219,H2)),G2&lt;F2)))</f>
        <v>0</v>
      </c>
      <c r="E219" s="101" t="str">
        <f ca="1">IF(ISNA(VLOOKUP(B219,I3:I9,1,FALSE)), "FALSE", "TRUE")</f>
        <v>FALSE</v>
      </c>
      <c r="L219" s="103" t="s">
        <v>1063</v>
      </c>
    </row>
    <row r="220" spans="1:12">
      <c r="A220" s="103" t="s">
        <v>1064</v>
      </c>
      <c r="B220" s="103" t="s">
        <v>1004</v>
      </c>
      <c r="C220" s="101" t="b">
        <f ca="1">OR(AND(ISNUMBER(SEARCH(B219,H2)),G2&gt;F2),(AND(ISNUMBER(SEARCH(B220,H2)),G2&lt;F2)))</f>
        <v>0</v>
      </c>
      <c r="E220" s="101" t="str">
        <f ca="1">IF(ISNA(VLOOKUP(B220,I3:I9,1,FALSE)), "FALSE", "TRUE")</f>
        <v>FALSE</v>
      </c>
      <c r="L220" s="103" t="s">
        <v>1064</v>
      </c>
    </row>
    <row r="221" spans="1:12">
      <c r="A221" s="103" t="s">
        <v>1065</v>
      </c>
      <c r="B221" s="103" t="s">
        <v>1005</v>
      </c>
      <c r="C221" s="101" t="b">
        <f ca="1">OR(AND(ISNUMBER(SEARCH(B220,H2)),G2&gt;F2),(AND(ISNUMBER(SEARCH(B221,H2)),G2&lt;F2)))</f>
        <v>0</v>
      </c>
      <c r="E221" s="101" t="str">
        <f ca="1">IF(ISNA(VLOOKUP(B221,I3:I9,1,FALSE)), "FALSE", "TRUE")</f>
        <v>FALSE</v>
      </c>
      <c r="L221" s="103" t="s">
        <v>1065</v>
      </c>
    </row>
    <row r="222" spans="1:12">
      <c r="A222" s="103" t="s">
        <v>1066</v>
      </c>
      <c r="B222" s="103" t="s">
        <v>1006</v>
      </c>
      <c r="C222" s="101" t="b">
        <f ca="1">OR(AND(ISNUMBER(SEARCH(B221,H2)),G2&gt;F2),(AND(ISNUMBER(SEARCH(B222,H2)),G2&lt;F2)))</f>
        <v>0</v>
      </c>
      <c r="E222" s="101" t="str">
        <f ca="1">IF(ISNA(VLOOKUP(B222,I3:I9,1,FALSE)), "FALSE", "TRUE")</f>
        <v>FALSE</v>
      </c>
      <c r="L222" s="103" t="s">
        <v>1066</v>
      </c>
    </row>
    <row r="223" spans="1:12">
      <c r="A223" s="103" t="s">
        <v>1067</v>
      </c>
      <c r="B223" s="103" t="s">
        <v>1007</v>
      </c>
      <c r="C223" s="101" t="b">
        <f ca="1">OR(AND(ISNUMBER(SEARCH(B222,H2)),G2&gt;F2),(AND(ISNUMBER(SEARCH(B223,H2)),G2&lt;F2)))</f>
        <v>0</v>
      </c>
      <c r="E223" s="101" t="str">
        <f ca="1">IF(ISNA(VLOOKUP(B223,I3:I9,1,FALSE)), "FALSE", "TRUE")</f>
        <v>FALSE</v>
      </c>
      <c r="L223" s="103" t="s">
        <v>1067</v>
      </c>
    </row>
    <row r="224" spans="1:12">
      <c r="A224" s="103" t="s">
        <v>1068</v>
      </c>
      <c r="B224" s="103" t="s">
        <v>1008</v>
      </c>
      <c r="C224" s="101" t="b">
        <f ca="1">OR(AND(ISNUMBER(SEARCH(B223,H2)),G2&gt;F2),(AND(ISNUMBER(SEARCH(B224,H2)),G2&lt;F2)))</f>
        <v>0</v>
      </c>
      <c r="E224" s="101" t="str">
        <f ca="1">IF(ISNA(VLOOKUP(B224,I3:I9,1,FALSE)), "FALSE", "TRUE")</f>
        <v>FALSE</v>
      </c>
      <c r="L224" s="103" t="s">
        <v>1068</v>
      </c>
    </row>
    <row r="225" spans="1:12">
      <c r="A225" s="103" t="s">
        <v>1069</v>
      </c>
      <c r="B225" s="103" t="s">
        <v>1009</v>
      </c>
      <c r="C225" s="101" t="b">
        <f ca="1">OR(AND(ISNUMBER(SEARCH(B224,H2)),G2&gt;F2),(AND(ISNUMBER(SEARCH(B225,H2)),G2&lt;F2)))</f>
        <v>0</v>
      </c>
      <c r="E225" s="101" t="str">
        <f ca="1">IF(ISNA(VLOOKUP(B225,I3:I9,1,FALSE)), "FALSE", "TRUE")</f>
        <v>FALSE</v>
      </c>
      <c r="L225" s="103" t="s">
        <v>1069</v>
      </c>
    </row>
    <row r="226" spans="1:12">
      <c r="A226" s="103" t="s">
        <v>1070</v>
      </c>
      <c r="B226" s="103" t="s">
        <v>1010</v>
      </c>
      <c r="C226" s="101" t="b">
        <f ca="1">OR(AND(ISNUMBER(SEARCH(B225,H2)),G2&gt;F2),(AND(ISNUMBER(SEARCH(B226,H2)),G2&lt;F2)))</f>
        <v>0</v>
      </c>
      <c r="E226" s="101" t="str">
        <f ca="1">IF(ISNA(VLOOKUP(B226,I3:I9,1,FALSE)), "FALSE", "TRUE")</f>
        <v>FALSE</v>
      </c>
      <c r="L226" s="103" t="s">
        <v>1070</v>
      </c>
    </row>
    <row r="227" spans="1:12">
      <c r="A227" s="103" t="s">
        <v>1071</v>
      </c>
      <c r="B227" s="103" t="s">
        <v>1011</v>
      </c>
      <c r="C227" s="101" t="b">
        <f ca="1">OR(AND(ISNUMBER(SEARCH(B226,H2)),G2&gt;F2),(AND(ISNUMBER(SEARCH(B227,H2)),G2&lt;F2)))</f>
        <v>0</v>
      </c>
      <c r="E227" s="101" t="str">
        <f ca="1">IF(ISNA(VLOOKUP(B227,I3:I9,1,FALSE)), "FALSE", "TRUE")</f>
        <v>FALSE</v>
      </c>
      <c r="L227" s="103" t="s">
        <v>1071</v>
      </c>
    </row>
    <row r="228" spans="1:12">
      <c r="A228" s="103" t="s">
        <v>1072</v>
      </c>
      <c r="B228" s="103" t="s">
        <v>1012</v>
      </c>
      <c r="C228" s="101" t="b">
        <f ca="1">OR(AND(ISNUMBER(SEARCH(B227,H2)),G2&gt;F2),(AND(ISNUMBER(SEARCH(B228,H2)),G2&lt;F2)))</f>
        <v>0</v>
      </c>
      <c r="E228" s="101" t="str">
        <f ca="1">IF(ISNA(VLOOKUP(B228,I3:I9,1,FALSE)), "FALSE", "TRUE")</f>
        <v>FALSE</v>
      </c>
      <c r="L228" s="103" t="s">
        <v>1072</v>
      </c>
    </row>
    <row r="229" spans="1:12">
      <c r="A229" s="103" t="s">
        <v>1073</v>
      </c>
      <c r="B229" s="103" t="s">
        <v>1013</v>
      </c>
      <c r="C229" s="101" t="b">
        <f ca="1">OR(AND(ISNUMBER(SEARCH(B228,H2)),G2&gt;F2),(AND(ISNUMBER(SEARCH(B229,H2)),G2&lt;F2)))</f>
        <v>0</v>
      </c>
      <c r="E229" s="101" t="str">
        <f ca="1">IF(ISNA(VLOOKUP(B229,I3:I9,1,FALSE)), "FALSE", "TRUE")</f>
        <v>FALSE</v>
      </c>
      <c r="L229" s="103" t="s">
        <v>1073</v>
      </c>
    </row>
    <row r="230" spans="1:12">
      <c r="A230" s="103" t="s">
        <v>1074</v>
      </c>
      <c r="B230" s="103" t="s">
        <v>1014</v>
      </c>
      <c r="C230" s="101" t="b">
        <f ca="1">OR(AND(ISNUMBER(SEARCH(B229,H2)),G2&gt;F2),(AND(ISNUMBER(SEARCH(B230,H2)),G2&lt;F2)))</f>
        <v>0</v>
      </c>
      <c r="E230" s="101" t="str">
        <f ca="1">IF(ISNA(VLOOKUP(B230,I3:I9,1,FALSE)), "FALSE", "TRUE")</f>
        <v>FALSE</v>
      </c>
      <c r="L230" s="103" t="s">
        <v>1074</v>
      </c>
    </row>
    <row r="231" spans="1:12">
      <c r="A231" s="103" t="s">
        <v>1075</v>
      </c>
      <c r="B231" s="103" t="s">
        <v>1015</v>
      </c>
      <c r="C231" s="101" t="b">
        <f ca="1">OR(AND(ISNUMBER(SEARCH(B230,H2)),G2&gt;F2),(AND(ISNUMBER(SEARCH(B231,H2)),G2&lt;F2)))</f>
        <v>0</v>
      </c>
      <c r="E231" s="101" t="str">
        <f ca="1">IF(ISNA(VLOOKUP(B231,I3:I9,1,FALSE)), "FALSE", "TRUE")</f>
        <v>FALSE</v>
      </c>
      <c r="L231" s="103" t="s">
        <v>1075</v>
      </c>
    </row>
    <row r="232" spans="1:12">
      <c r="A232" s="103" t="s">
        <v>1076</v>
      </c>
      <c r="B232" s="103" t="s">
        <v>1016</v>
      </c>
      <c r="C232" s="101" t="b">
        <f ca="1">OR(AND(ISNUMBER(SEARCH(B231,H2)),G2&gt;F2),(AND(ISNUMBER(SEARCH(B232,H2)),G2&lt;F2)))</f>
        <v>0</v>
      </c>
      <c r="E232" s="101" t="str">
        <f ca="1">IF(ISNA(VLOOKUP(B232,I3:I9,1,FALSE)), "FALSE", "TRUE")</f>
        <v>FALSE</v>
      </c>
      <c r="L232" s="103" t="s">
        <v>1076</v>
      </c>
    </row>
    <row r="233" spans="1:12">
      <c r="A233" s="103" t="s">
        <v>1077</v>
      </c>
      <c r="B233" s="103" t="s">
        <v>1017</v>
      </c>
      <c r="C233" s="101" t="b">
        <f ca="1">OR(AND(ISNUMBER(SEARCH(B232,H2)),G2&gt;F2),(AND(ISNUMBER(SEARCH(B233,H2)),G2&lt;F2)))</f>
        <v>0</v>
      </c>
      <c r="E233" s="101" t="str">
        <f ca="1">IF(ISNA(VLOOKUP(B233,I3:I9,1,FALSE)), "FALSE", "TRUE")</f>
        <v>FALSE</v>
      </c>
      <c r="L233" s="103" t="s">
        <v>1077</v>
      </c>
    </row>
    <row r="234" spans="1:12">
      <c r="A234" s="103" t="s">
        <v>1078</v>
      </c>
      <c r="B234" s="103" t="s">
        <v>1018</v>
      </c>
      <c r="C234" s="101" t="b">
        <f ca="1">OR(AND(ISNUMBER(SEARCH(B233,H2)),G2&gt;F2),(AND(ISNUMBER(SEARCH(B234,H2)),G2&lt;F2)))</f>
        <v>0</v>
      </c>
      <c r="E234" s="101" t="str">
        <f ca="1">IF(ISNA(VLOOKUP(B234,I3:I9,1,FALSE)), "FALSE", "TRUE")</f>
        <v>FALSE</v>
      </c>
      <c r="L234" s="103" t="s">
        <v>1078</v>
      </c>
    </row>
    <row r="235" spans="1:12">
      <c r="A235" s="103" t="s">
        <v>1079</v>
      </c>
      <c r="B235" s="103" t="s">
        <v>1019</v>
      </c>
      <c r="C235" s="101" t="b">
        <f ca="1">OR(AND(ISNUMBER(SEARCH(B234,H2)),G2&gt;F2),(AND(ISNUMBER(SEARCH(B235,H2)),G2&lt;F2)))</f>
        <v>0</v>
      </c>
      <c r="E235" s="101" t="str">
        <f ca="1">IF(ISNA(VLOOKUP(B235,I3:I9,1,FALSE)), "FALSE", "TRUE")</f>
        <v>FALSE</v>
      </c>
      <c r="L235" s="103" t="s">
        <v>1079</v>
      </c>
    </row>
    <row r="236" spans="1:12">
      <c r="A236" s="103" t="s">
        <v>1080</v>
      </c>
      <c r="B236" s="103" t="s">
        <v>1020</v>
      </c>
      <c r="C236" s="101" t="b">
        <f ca="1">OR(AND(ISNUMBER(SEARCH(B235,H2)),G2&gt;F2),(AND(ISNUMBER(SEARCH(B236,H2)),G2&lt;F2)))</f>
        <v>0</v>
      </c>
      <c r="E236" s="101" t="str">
        <f ca="1">IF(ISNA(VLOOKUP(B236,I3:I9,1,FALSE)), "FALSE", "TRUE")</f>
        <v>FALSE</v>
      </c>
      <c r="L236" s="103" t="s">
        <v>1080</v>
      </c>
    </row>
    <row r="237" spans="1:12">
      <c r="A237" s="103" t="s">
        <v>1081</v>
      </c>
      <c r="B237" s="103" t="s">
        <v>1021</v>
      </c>
      <c r="C237" s="101" t="b">
        <f ca="1">OR(AND(ISNUMBER(SEARCH(B236,H2)),G2&gt;F2),(AND(ISNUMBER(SEARCH(B237,H2)),G2&lt;F2)))</f>
        <v>0</v>
      </c>
      <c r="E237" s="101" t="str">
        <f ca="1">IF(ISNA(VLOOKUP(B237,I3:I9,1,FALSE)), "FALSE", "TRUE")</f>
        <v>FALSE</v>
      </c>
      <c r="L237" s="103" t="s">
        <v>1081</v>
      </c>
    </row>
    <row r="238" spans="1:12">
      <c r="A238" s="103" t="s">
        <v>1082</v>
      </c>
      <c r="B238" s="103" t="s">
        <v>1022</v>
      </c>
      <c r="C238" s="101" t="b">
        <f ca="1">OR(AND(ISNUMBER(SEARCH(B237,H2)),G2&gt;F2),(AND(ISNUMBER(SEARCH(B238,H2)),G2&lt;F2)))</f>
        <v>0</v>
      </c>
      <c r="E238" s="101" t="str">
        <f ca="1">IF(ISNA(VLOOKUP(B238,I3:I9,1,FALSE)), "FALSE", "TRUE")</f>
        <v>FALSE</v>
      </c>
      <c r="L238" s="103" t="s">
        <v>1082</v>
      </c>
    </row>
    <row r="239" spans="1:12">
      <c r="A239" s="103" t="s">
        <v>1083</v>
      </c>
      <c r="B239" s="103" t="s">
        <v>1023</v>
      </c>
      <c r="C239" s="101" t="b">
        <f ca="1">OR(AND(ISNUMBER(SEARCH(B238,H2)),G2&gt;F2),(AND(ISNUMBER(SEARCH(B239,H2)),G2&lt;F2)))</f>
        <v>0</v>
      </c>
      <c r="E239" s="101" t="str">
        <f ca="1">IF(ISNA(VLOOKUP(B239,I3:I9,1,FALSE)), "FALSE", "TRUE")</f>
        <v>FALSE</v>
      </c>
      <c r="L239" s="103" t="s">
        <v>1083</v>
      </c>
    </row>
    <row r="240" spans="1:12">
      <c r="A240" s="103" t="s">
        <v>1084</v>
      </c>
      <c r="B240" s="103" t="s">
        <v>1024</v>
      </c>
      <c r="C240" s="101" t="b">
        <f ca="1">OR(AND(ISNUMBER(SEARCH(B239,H2)),G2&gt;F2),(AND(ISNUMBER(SEARCH(B240,H2)),G2&lt;F2)))</f>
        <v>0</v>
      </c>
      <c r="E240" s="101" t="str">
        <f ca="1">IF(ISNA(VLOOKUP(B240,I3:I9,1,FALSE)), "FALSE", "TRUE")</f>
        <v>FALSE</v>
      </c>
      <c r="L240" s="103" t="s">
        <v>1084</v>
      </c>
    </row>
    <row r="241" spans="1:12">
      <c r="A241" s="103" t="s">
        <v>1085</v>
      </c>
      <c r="B241" s="103" t="s">
        <v>1025</v>
      </c>
      <c r="C241" s="101" t="b">
        <f ca="1">OR(AND(ISNUMBER(SEARCH(B240,H2)),G2&gt;F2),(AND(ISNUMBER(SEARCH(B241,H2)),G2&lt;F2)))</f>
        <v>0</v>
      </c>
      <c r="E241" s="101" t="str">
        <f ca="1">IF(ISNA(VLOOKUP(B241,I3:I9,1,FALSE)), "FALSE", "TRUE")</f>
        <v>FALSE</v>
      </c>
      <c r="L241" s="103" t="s">
        <v>1085</v>
      </c>
    </row>
    <row r="242" spans="1:12">
      <c r="A242" s="103" t="s">
        <v>717</v>
      </c>
      <c r="B242" s="103" t="s">
        <v>357</v>
      </c>
      <c r="C242" s="101" t="b">
        <f ca="1">OR(AND(ISNUMBER(SEARCH(B241,H2)),G2&gt;F2),(AND(ISNUMBER(SEARCH(B242,H2)),G2&lt;F2)))</f>
        <v>0</v>
      </c>
      <c r="E242" s="101" t="str">
        <f ca="1">IF(ISNA(VLOOKUP(B242,I3:I9,1,FALSE)), "FALSE", "TRUE")</f>
        <v>FALSE</v>
      </c>
      <c r="L242" s="103" t="s">
        <v>717</v>
      </c>
    </row>
    <row r="243" spans="1:12">
      <c r="A243" s="101" t="s">
        <v>718</v>
      </c>
      <c r="B243" s="103" t="s">
        <v>358</v>
      </c>
      <c r="C243" s="101" t="b">
        <f ca="1">OR(AND(ISNUMBER(SEARCH(B242,H2)),G2&gt;F2),(AND(ISNUMBER(SEARCH(B243,H2)),G2&lt;F2)))</f>
        <v>0</v>
      </c>
      <c r="E243" s="101" t="str">
        <f ca="1">IF(ISNA(VLOOKUP(B243,I3:I9,1,FALSE)), "FALSE", "TRUE")</f>
        <v>FALSE</v>
      </c>
      <c r="L243" s="101" t="s">
        <v>718</v>
      </c>
    </row>
    <row r="244" spans="1:12">
      <c r="A244" s="101" t="s">
        <v>719</v>
      </c>
      <c r="B244" s="103" t="s">
        <v>359</v>
      </c>
      <c r="C244" s="101" t="b">
        <f ca="1">OR(AND(ISNUMBER(SEARCH(B243,H2)),G2&gt;F2),(AND(ISNUMBER(SEARCH(B244,H2)),G2&lt;F2)))</f>
        <v>0</v>
      </c>
      <c r="E244" s="101" t="str">
        <f ca="1">IF(ISNA(VLOOKUP(B244,I3:I9,1,FALSE)), "FALSE", "TRUE")</f>
        <v>FALSE</v>
      </c>
      <c r="L244" s="101" t="s">
        <v>719</v>
      </c>
    </row>
    <row r="245" spans="1:12">
      <c r="A245" s="101" t="s">
        <v>720</v>
      </c>
      <c r="B245" s="103" t="s">
        <v>360</v>
      </c>
      <c r="C245" s="101" t="b">
        <f ca="1">OR(AND(ISNUMBER(SEARCH(B244,H2)),G2&gt;F2),(AND(ISNUMBER(SEARCH(B245,H2)),G2&lt;F2)))</f>
        <v>0</v>
      </c>
      <c r="E245" s="101" t="str">
        <f ca="1">IF(ISNA(VLOOKUP(B245,I3:I9,1,FALSE)), "FALSE", "TRUE")</f>
        <v>FALSE</v>
      </c>
      <c r="L245" s="101" t="s">
        <v>720</v>
      </c>
    </row>
    <row r="246" spans="1:12">
      <c r="A246" s="101" t="s">
        <v>721</v>
      </c>
      <c r="B246" s="103" t="s">
        <v>361</v>
      </c>
      <c r="C246" s="101" t="b">
        <f ca="1">OR(AND(ISNUMBER(SEARCH(B245,H2)),G2&gt;F2),(AND(ISNUMBER(SEARCH(B246,H2)),G2&lt;F2)))</f>
        <v>0</v>
      </c>
      <c r="E246" s="101" t="str">
        <f ca="1">IF(ISNA(VLOOKUP(B246,I3:I9,1,FALSE)), "FALSE", "TRUE")</f>
        <v>FALSE</v>
      </c>
      <c r="L246" s="101" t="s">
        <v>721</v>
      </c>
    </row>
    <row r="247" spans="1:12">
      <c r="A247" s="101" t="s">
        <v>722</v>
      </c>
      <c r="B247" s="103" t="s">
        <v>362</v>
      </c>
      <c r="C247" s="101" t="b">
        <f ca="1">OR(AND(ISNUMBER(SEARCH(B246,H2)),G2&gt;F2),(AND(ISNUMBER(SEARCH(B247,H2)),G2&lt;F2)))</f>
        <v>0</v>
      </c>
      <c r="E247" s="101" t="str">
        <f ca="1">IF(ISNA(VLOOKUP(B247,I3:I9,1,FALSE)), "FALSE", "TRUE")</f>
        <v>FALSE</v>
      </c>
      <c r="L247" s="101" t="s">
        <v>722</v>
      </c>
    </row>
    <row r="248" spans="1:12">
      <c r="A248" s="101" t="s">
        <v>723</v>
      </c>
      <c r="B248" s="103" t="s">
        <v>363</v>
      </c>
      <c r="C248" s="101" t="b">
        <f ca="1">OR(AND(ISNUMBER(SEARCH(B247,H2)),G2&gt;F2),(AND(ISNUMBER(SEARCH(B248,H2)),G2&lt;F2)))</f>
        <v>0</v>
      </c>
      <c r="E248" s="101" t="str">
        <f ca="1">IF(ISNA(VLOOKUP(B248,I3:I9,1,FALSE)), "FALSE", "TRUE")</f>
        <v>FALSE</v>
      </c>
      <c r="L248" s="101" t="s">
        <v>723</v>
      </c>
    </row>
    <row r="249" spans="1:12">
      <c r="A249" s="101" t="s">
        <v>724</v>
      </c>
      <c r="B249" s="103" t="s">
        <v>364</v>
      </c>
      <c r="C249" s="101" t="b">
        <f ca="1">OR(AND(ISNUMBER(SEARCH(B248,H2)),G2&gt;F2),(AND(ISNUMBER(SEARCH(B249,H2)),G2&lt;F2)))</f>
        <v>0</v>
      </c>
      <c r="E249" s="101" t="str">
        <f ca="1">IF(ISNA(VLOOKUP(B249,I3:I9,1,FALSE)), "FALSE", "TRUE")</f>
        <v>FALSE</v>
      </c>
      <c r="L249" s="101" t="s">
        <v>724</v>
      </c>
    </row>
    <row r="250" spans="1:12">
      <c r="A250" s="101" t="s">
        <v>725</v>
      </c>
      <c r="B250" s="103" t="s">
        <v>365</v>
      </c>
      <c r="C250" s="101" t="b">
        <f ca="1">OR(AND(ISNUMBER(SEARCH(B249,H2)),G2&gt;F2),(AND(ISNUMBER(SEARCH(B250,H2)),G2&lt;F2)))</f>
        <v>0</v>
      </c>
      <c r="E250" s="101" t="str">
        <f ca="1">IF(ISNA(VLOOKUP(B250,I3:I9,1,FALSE)), "FALSE", "TRUE")</f>
        <v>FALSE</v>
      </c>
      <c r="L250" s="101" t="s">
        <v>725</v>
      </c>
    </row>
    <row r="251" spans="1:12">
      <c r="A251" s="101" t="s">
        <v>726</v>
      </c>
      <c r="B251" s="103" t="s">
        <v>366</v>
      </c>
      <c r="C251" s="101" t="b">
        <f ca="1">OR(AND(ISNUMBER(SEARCH(B250,H2)),G2&gt;F2),(AND(ISNUMBER(SEARCH(B251,H2)),G2&lt;F2)))</f>
        <v>0</v>
      </c>
      <c r="E251" s="101" t="str">
        <f ca="1">IF(ISNA(VLOOKUP(B251,I3:I9,1,FALSE)), "FALSE", "TRUE")</f>
        <v>FALSE</v>
      </c>
      <c r="L251" s="101" t="s">
        <v>726</v>
      </c>
    </row>
    <row r="252" spans="1:12">
      <c r="A252" s="101" t="s">
        <v>727</v>
      </c>
      <c r="B252" s="103" t="s">
        <v>367</v>
      </c>
      <c r="C252" s="101" t="b">
        <f ca="1">OR(AND(ISNUMBER(SEARCH(B251,H2)),G2&gt;F2),(AND(ISNUMBER(SEARCH(B252,H2)),G2&lt;F2)))</f>
        <v>0</v>
      </c>
      <c r="E252" s="101" t="str">
        <f ca="1">IF(ISNA(VLOOKUP(B252,I3:I9,1,FALSE)), "FALSE", "TRUE")</f>
        <v>FALSE</v>
      </c>
      <c r="L252" s="101" t="s">
        <v>727</v>
      </c>
    </row>
    <row r="253" spans="1:12">
      <c r="A253" s="101" t="s">
        <v>728</v>
      </c>
      <c r="B253" s="103" t="s">
        <v>368</v>
      </c>
      <c r="C253" s="101" t="b">
        <f ca="1">OR(AND(ISNUMBER(SEARCH(B252,H2)),G2&gt;F2),(AND(ISNUMBER(SEARCH(B253,H2)),G2&lt;F2)))</f>
        <v>0</v>
      </c>
      <c r="E253" s="101" t="str">
        <f ca="1">IF(ISNA(VLOOKUP(B253,I3:I9,1,FALSE)), "FALSE", "TRUE")</f>
        <v>FALSE</v>
      </c>
      <c r="L253" s="101" t="s">
        <v>728</v>
      </c>
    </row>
    <row r="254" spans="1:12">
      <c r="A254" s="101" t="s">
        <v>729</v>
      </c>
      <c r="B254" s="103" t="s">
        <v>369</v>
      </c>
      <c r="C254" s="101" t="b">
        <f ca="1">OR(AND(ISNUMBER(SEARCH(B253,H2)),G2&gt;F2),(AND(ISNUMBER(SEARCH(B254,H2)),G2&lt;F2)))</f>
        <v>0</v>
      </c>
      <c r="E254" s="101" t="str">
        <f ca="1">IF(ISNA(VLOOKUP(B254,I3:I9,1,FALSE)), "FALSE", "TRUE")</f>
        <v>FALSE</v>
      </c>
      <c r="L254" s="101" t="s">
        <v>729</v>
      </c>
    </row>
    <row r="255" spans="1:12">
      <c r="A255" s="101" t="s">
        <v>730</v>
      </c>
      <c r="B255" s="103" t="s">
        <v>370</v>
      </c>
      <c r="C255" s="101" t="b">
        <f ca="1">OR(AND(ISNUMBER(SEARCH(B254,H2)),G2&gt;F2),(AND(ISNUMBER(SEARCH(B255,H2)),G2&lt;F2)))</f>
        <v>0</v>
      </c>
      <c r="D255" s="103" t="s">
        <v>938</v>
      </c>
      <c r="E255" s="101" t="str">
        <f ca="1">IF(ISNA(VLOOKUP(B255,I3:I9,1,FALSE)), "FALSE", "TRUE")</f>
        <v>FALSE</v>
      </c>
      <c r="J255" s="103" t="s">
        <v>919</v>
      </c>
      <c r="L255" s="101" t="s">
        <v>730</v>
      </c>
    </row>
    <row r="256" spans="1:12">
      <c r="A256" s="101" t="s">
        <v>731</v>
      </c>
      <c r="B256" s="103" t="s">
        <v>371</v>
      </c>
      <c r="C256" s="101" t="b">
        <f ca="1">OR(AND(ISNUMBER(SEARCH(B255,H2)),G2&gt;F2),(AND(ISNUMBER(SEARCH(B256,H2)),G2&lt;F2)))</f>
        <v>0</v>
      </c>
      <c r="D256" s="103" t="s">
        <v>938</v>
      </c>
      <c r="E256" s="101" t="str">
        <f ca="1">IF(ISNA(VLOOKUP(B256,I3:I9,1,FALSE)), "FALSE", "TRUE")</f>
        <v>FALSE</v>
      </c>
      <c r="J256" s="103" t="s">
        <v>920</v>
      </c>
      <c r="L256" s="101" t="s">
        <v>731</v>
      </c>
    </row>
    <row r="257" spans="1:12">
      <c r="A257" s="101" t="s">
        <v>732</v>
      </c>
      <c r="B257" s="103" t="s">
        <v>372</v>
      </c>
      <c r="C257" s="101" t="b">
        <f ca="1">OR(AND(ISNUMBER(SEARCH(B256,H2)),G2&gt;F2),(AND(ISNUMBER(SEARCH(B257,H2)),G2&lt;F2)))</f>
        <v>0</v>
      </c>
      <c r="D257" s="103" t="s">
        <v>938</v>
      </c>
      <c r="E257" s="101" t="str">
        <f ca="1">IF(ISNA(VLOOKUP(B257,I3:I9,1,FALSE)), "FALSE", "TRUE")</f>
        <v>FALSE</v>
      </c>
      <c r="J257" s="103" t="s">
        <v>921</v>
      </c>
      <c r="L257" s="101" t="s">
        <v>732</v>
      </c>
    </row>
    <row r="258" spans="1:12">
      <c r="A258" s="101" t="s">
        <v>733</v>
      </c>
      <c r="B258" s="103" t="s">
        <v>373</v>
      </c>
      <c r="C258" s="101" t="b">
        <f ca="1">OR(AND(ISNUMBER(SEARCH(B257,H2)),G2&gt;F2),(AND(ISNUMBER(SEARCH(B258,H2)),G2&lt;F2)))</f>
        <v>0</v>
      </c>
      <c r="D258" s="103" t="s">
        <v>938</v>
      </c>
      <c r="E258" s="101" t="str">
        <f ca="1">IF(ISNA(VLOOKUP(B258,I3:I9,1,FALSE)), "FALSE", "TRUE")</f>
        <v>FALSE</v>
      </c>
      <c r="J258" s="103" t="s">
        <v>921</v>
      </c>
      <c r="L258" s="101" t="s">
        <v>733</v>
      </c>
    </row>
    <row r="259" spans="1:12">
      <c r="A259" s="101" t="s">
        <v>734</v>
      </c>
      <c r="B259" s="103" t="s">
        <v>374</v>
      </c>
      <c r="C259" s="101" t="b">
        <f ca="1">OR(AND(ISNUMBER(SEARCH(B258,H2)),G2&gt;F2),(AND(ISNUMBER(SEARCH(B259,H2)),G2&lt;F2)))</f>
        <v>0</v>
      </c>
      <c r="D259" s="103" t="s">
        <v>938</v>
      </c>
      <c r="E259" s="101" t="str">
        <f ca="1">IF(ISNA(VLOOKUP(B259,I3:I9,1,FALSE)), "FALSE", "TRUE")</f>
        <v>FALSE</v>
      </c>
      <c r="J259" s="103" t="s">
        <v>921</v>
      </c>
      <c r="L259" s="101" t="s">
        <v>734</v>
      </c>
    </row>
    <row r="260" spans="1:12">
      <c r="A260" s="101" t="s">
        <v>735</v>
      </c>
      <c r="B260" s="103" t="s">
        <v>375</v>
      </c>
      <c r="C260" s="101" t="b">
        <f ca="1">OR(AND(ISNUMBER(SEARCH(B259,H2)),G2&gt;F2),(AND(ISNUMBER(SEARCH(B260,H2)),G2&lt;F2)))</f>
        <v>0</v>
      </c>
      <c r="D260" s="103" t="s">
        <v>938</v>
      </c>
      <c r="E260" s="101" t="str">
        <f ca="1">IF(ISNA(VLOOKUP(B260,I3:I9,1,FALSE)), "FALSE", "TRUE")</f>
        <v>FALSE</v>
      </c>
      <c r="J260" s="103" t="s">
        <v>921</v>
      </c>
      <c r="L260" s="101" t="s">
        <v>735</v>
      </c>
    </row>
    <row r="261" spans="1:12">
      <c r="A261" s="101" t="s">
        <v>736</v>
      </c>
      <c r="B261" s="103" t="s">
        <v>376</v>
      </c>
      <c r="C261" s="101" t="b">
        <f ca="1">OR(AND(ISNUMBER(SEARCH(B260,H2)),G2&gt;F2),(AND(ISNUMBER(SEARCH(B261,H2)),G2&lt;F2)))</f>
        <v>0</v>
      </c>
      <c r="D261" s="103" t="s">
        <v>938</v>
      </c>
      <c r="E261" s="101" t="str">
        <f ca="1">IF(ISNA(VLOOKUP(B261,I3:I9,1,FALSE)), "FALSE", "TRUE")</f>
        <v>FALSE</v>
      </c>
      <c r="J261" s="103" t="s">
        <v>923</v>
      </c>
      <c r="L261" s="101" t="s">
        <v>736</v>
      </c>
    </row>
    <row r="262" spans="1:12">
      <c r="A262" s="101" t="s">
        <v>737</v>
      </c>
      <c r="B262" s="103" t="s">
        <v>377</v>
      </c>
      <c r="C262" s="101" t="b">
        <f ca="1">OR(AND(ISNUMBER(SEARCH(B261,H2)),G2&gt;F2),(AND(ISNUMBER(SEARCH(B262,H2)),G2&lt;F2)))</f>
        <v>0</v>
      </c>
      <c r="D262" s="103" t="s">
        <v>938</v>
      </c>
      <c r="E262" s="101" t="str">
        <f ca="1">IF(ISNA(VLOOKUP(B262,I3:I9,1,FALSE)), "FALSE", "TRUE")</f>
        <v>FALSE</v>
      </c>
      <c r="J262" s="103" t="s">
        <v>922</v>
      </c>
      <c r="L262" s="101" t="s">
        <v>737</v>
      </c>
    </row>
    <row r="263" spans="1:12">
      <c r="A263" s="101" t="s">
        <v>738</v>
      </c>
      <c r="B263" s="103" t="s">
        <v>378</v>
      </c>
      <c r="C263" s="101" t="b">
        <f ca="1">OR(AND(ISNUMBER(SEARCH(B262,H2)),G2&gt;F2),(AND(ISNUMBER(SEARCH(B263,H2)),G2&lt;F2)))</f>
        <v>0</v>
      </c>
      <c r="E263" s="101" t="str">
        <f ca="1">IF(ISNA(VLOOKUP(B263,I3:I9,1,FALSE)), "FALSE", "TRUE")</f>
        <v>FALSE</v>
      </c>
      <c r="L263" s="101" t="s">
        <v>738</v>
      </c>
    </row>
    <row r="264" spans="1:12">
      <c r="A264" s="101" t="s">
        <v>739</v>
      </c>
      <c r="B264" s="103" t="s">
        <v>379</v>
      </c>
      <c r="C264" s="101" t="b">
        <f ca="1">OR(AND(ISNUMBER(SEARCH(B263,H2)),G2&gt;F2),(AND(ISNUMBER(SEARCH(B264,H2)),G2&lt;F2)))</f>
        <v>0</v>
      </c>
      <c r="E264" s="101" t="str">
        <f ca="1">IF(ISNA(VLOOKUP(B264,I3:I9,1,FALSE)), "FALSE", "TRUE")</f>
        <v>FALSE</v>
      </c>
      <c r="L264" s="101" t="s">
        <v>739</v>
      </c>
    </row>
    <row r="265" spans="1:12">
      <c r="A265" s="101" t="s">
        <v>740</v>
      </c>
      <c r="B265" s="103" t="s">
        <v>380</v>
      </c>
      <c r="C265" s="101" t="b">
        <f ca="1">OR(AND(ISNUMBER(SEARCH(B264,H2)),G2&gt;F2),(AND(ISNUMBER(SEARCH(B265,H2)),G2&lt;F2)))</f>
        <v>0</v>
      </c>
      <c r="E265" s="101" t="str">
        <f ca="1">IF(ISNA(VLOOKUP(B265,I3:I9,1,FALSE)), "FALSE", "TRUE")</f>
        <v>FALSE</v>
      </c>
      <c r="L265" s="101" t="s">
        <v>740</v>
      </c>
    </row>
    <row r="266" spans="1:12">
      <c r="A266" s="101" t="s">
        <v>741</v>
      </c>
      <c r="B266" s="103" t="s">
        <v>381</v>
      </c>
      <c r="C266" s="101" t="b">
        <f ca="1">OR(AND(ISNUMBER(SEARCH(B265,H2)),G2&gt;F2),(AND(ISNUMBER(SEARCH(B266,H2)),G2&lt;F2)))</f>
        <v>0</v>
      </c>
      <c r="E266" s="101" t="str">
        <f ca="1">IF(ISNA(VLOOKUP(B266,I3:I9,1,FALSE)), "FALSE", "TRUE")</f>
        <v>FALSE</v>
      </c>
      <c r="L266" s="101" t="s">
        <v>741</v>
      </c>
    </row>
    <row r="267" spans="1:12">
      <c r="A267" s="101" t="s">
        <v>742</v>
      </c>
      <c r="B267" s="103" t="s">
        <v>382</v>
      </c>
      <c r="C267" s="101" t="b">
        <f ca="1">OR(AND(ISNUMBER(SEARCH(B266,H2)),G2&gt;F2),(AND(ISNUMBER(SEARCH(B267,H2)),G2&lt;F2)))</f>
        <v>0</v>
      </c>
      <c r="E267" s="101" t="str">
        <f ca="1">IF(ISNA(VLOOKUP(B267,I3:I9,1,FALSE)), "FALSE", "TRUE")</f>
        <v>FALSE</v>
      </c>
      <c r="L267" s="101" t="s">
        <v>742</v>
      </c>
    </row>
    <row r="268" spans="1:12">
      <c r="A268" s="101" t="s">
        <v>743</v>
      </c>
      <c r="B268" s="103" t="s">
        <v>383</v>
      </c>
      <c r="C268" s="101" t="b">
        <f ca="1">OR(AND(ISNUMBER(SEARCH(B267,H2)),G2&gt;F2),(AND(ISNUMBER(SEARCH(B268,H2)),G2&lt;F2)))</f>
        <v>0</v>
      </c>
      <c r="E268" s="101" t="str">
        <f ca="1">IF(ISNA(VLOOKUP(B268,I3:I9,1,FALSE)), "FALSE", "TRUE")</f>
        <v>FALSE</v>
      </c>
      <c r="L268" s="101" t="s">
        <v>743</v>
      </c>
    </row>
    <row r="269" spans="1:12">
      <c r="A269" s="101" t="s">
        <v>744</v>
      </c>
      <c r="B269" s="103" t="s">
        <v>384</v>
      </c>
      <c r="C269" s="101" t="b">
        <f ca="1">OR(AND(ISNUMBER(SEARCH(B268,H2)),G2&gt;F2),(AND(ISNUMBER(SEARCH(B269,H2)),G2&lt;F2)))</f>
        <v>0</v>
      </c>
      <c r="E269" s="101" t="str">
        <f ca="1">IF(ISNA(VLOOKUP(B269,I3:I9,1,FALSE)), "FALSE", "TRUE")</f>
        <v>FALSE</v>
      </c>
      <c r="L269" s="101" t="s">
        <v>744</v>
      </c>
    </row>
    <row r="270" spans="1:12">
      <c r="A270" s="101" t="s">
        <v>745</v>
      </c>
      <c r="B270" s="103" t="s">
        <v>385</v>
      </c>
      <c r="C270" s="101" t="b">
        <f ca="1">OR(AND(ISNUMBER(SEARCH(B269,H2)),G2&gt;F2),(AND(ISNUMBER(SEARCH(B270,H2)),G2&lt;F2)))</f>
        <v>0</v>
      </c>
      <c r="E270" s="101" t="str">
        <f ca="1">IF(ISNA(VLOOKUP(B270,I3:I9,1,FALSE)), "FALSE", "TRUE")</f>
        <v>FALSE</v>
      </c>
      <c r="L270" s="101" t="s">
        <v>745</v>
      </c>
    </row>
    <row r="271" spans="1:12">
      <c r="A271" s="101" t="s">
        <v>746</v>
      </c>
      <c r="B271" s="103" t="s">
        <v>386</v>
      </c>
      <c r="C271" s="101" t="b">
        <f ca="1">OR(AND(ISNUMBER(SEARCH(B270,H2)),G2&gt;F2),(AND(ISNUMBER(SEARCH(B271,H2)),G2&lt;F2)))</f>
        <v>0</v>
      </c>
      <c r="E271" s="101" t="str">
        <f ca="1">IF(ISNA(VLOOKUP(B271,I3:I9,1,FALSE)), "FALSE", "TRUE")</f>
        <v>FALSE</v>
      </c>
      <c r="L271" s="101" t="s">
        <v>746</v>
      </c>
    </row>
    <row r="272" spans="1:12">
      <c r="A272" s="101" t="s">
        <v>747</v>
      </c>
      <c r="B272" s="103" t="s">
        <v>387</v>
      </c>
      <c r="C272" s="101" t="b">
        <f ca="1">OR(AND(ISNUMBER(SEARCH(B271,H2)),G2&gt;F2),(AND(ISNUMBER(SEARCH(B272,H2)),G2&lt;F2)))</f>
        <v>0</v>
      </c>
      <c r="E272" s="101" t="str">
        <f ca="1">IF(ISNA(VLOOKUP(B272,I3:I9,1,FALSE)), "FALSE", "TRUE")</f>
        <v>FALSE</v>
      </c>
      <c r="L272" s="101" t="s">
        <v>747</v>
      </c>
    </row>
    <row r="273" spans="1:12">
      <c r="A273" s="101" t="s">
        <v>748</v>
      </c>
      <c r="B273" s="103" t="s">
        <v>388</v>
      </c>
      <c r="C273" s="101" t="b">
        <f ca="1">OR(AND(ISNUMBER(SEARCH(B272,H2)),G2&gt;F2),(AND(ISNUMBER(SEARCH(B273,H2)),G2&lt;F2)))</f>
        <v>0</v>
      </c>
      <c r="E273" s="101" t="str">
        <f ca="1">IF(ISNA(VLOOKUP(B273,I3:I9,1,FALSE)), "FALSE", "TRUE")</f>
        <v>FALSE</v>
      </c>
      <c r="L273" s="101" t="s">
        <v>748</v>
      </c>
    </row>
    <row r="274" spans="1:12">
      <c r="A274" s="101" t="s">
        <v>749</v>
      </c>
      <c r="B274" s="103" t="s">
        <v>389</v>
      </c>
      <c r="C274" s="101" t="b">
        <f ca="1">OR(AND(ISNUMBER(SEARCH(B273,H2)),G2&gt;F2),(AND(ISNUMBER(SEARCH(B274,H2)),G2&lt;F2)))</f>
        <v>0</v>
      </c>
      <c r="E274" s="101" t="str">
        <f ca="1">IF(ISNA(VLOOKUP(B274,I3:I9,1,FALSE)), "FALSE", "TRUE")</f>
        <v>FALSE</v>
      </c>
      <c r="L274" s="101" t="s">
        <v>749</v>
      </c>
    </row>
    <row r="275" spans="1:12">
      <c r="A275" s="101" t="s">
        <v>750</v>
      </c>
      <c r="B275" s="103" t="s">
        <v>390</v>
      </c>
      <c r="C275" s="101" t="b">
        <f ca="1">OR(AND(ISNUMBER(SEARCH(B274,H2)),G2&gt;F2),(AND(ISNUMBER(SEARCH(B275,H2)),G2&lt;F2)))</f>
        <v>0</v>
      </c>
      <c r="E275" s="101" t="str">
        <f ca="1">IF(ISNA(VLOOKUP(B275,I3:I9,1,FALSE)), "FALSE", "TRUE")</f>
        <v>FALSE</v>
      </c>
      <c r="L275" s="101" t="s">
        <v>750</v>
      </c>
    </row>
    <row r="276" spans="1:12">
      <c r="A276" s="101" t="s">
        <v>751</v>
      </c>
      <c r="B276" s="103" t="s">
        <v>391</v>
      </c>
      <c r="C276" s="101" t="b">
        <f ca="1">OR(AND(ISNUMBER(SEARCH(B275,H2)),G2&gt;F2),(AND(ISNUMBER(SEARCH(B276,H2)),G2&lt;F2)))</f>
        <v>0</v>
      </c>
      <c r="E276" s="101" t="str">
        <f ca="1">IF(ISNA(VLOOKUP(B276,I3:I9,1,FALSE)), "FALSE", "TRUE")</f>
        <v>FALSE</v>
      </c>
      <c r="L276" s="101" t="s">
        <v>751</v>
      </c>
    </row>
    <row r="277" spans="1:12">
      <c r="A277" s="101" t="s">
        <v>752</v>
      </c>
      <c r="B277" s="103" t="s">
        <v>392</v>
      </c>
      <c r="C277" s="101" t="b">
        <f ca="1">OR(AND(ISNUMBER(SEARCH(B276,H2)),G2&gt;F2),(AND(ISNUMBER(SEARCH(B277,H2)),G2&lt;F2)))</f>
        <v>0</v>
      </c>
      <c r="E277" s="101" t="str">
        <f ca="1">IF(ISNA(VLOOKUP(B277,I3:I9,1,FALSE)), "FALSE", "TRUE")</f>
        <v>FALSE</v>
      </c>
      <c r="L277" s="101" t="s">
        <v>752</v>
      </c>
    </row>
    <row r="278" spans="1:12">
      <c r="A278" s="101" t="s">
        <v>753</v>
      </c>
      <c r="B278" s="103" t="s">
        <v>393</v>
      </c>
      <c r="C278" s="101" t="b">
        <f ca="1">OR(AND(ISNUMBER(SEARCH(B277,H2)),G2&gt;F2),(AND(ISNUMBER(SEARCH(B278,H2)),G2&lt;F2)))</f>
        <v>0</v>
      </c>
      <c r="E278" s="101" t="str">
        <f ca="1">IF(ISNA(VLOOKUP(B278,I3:I9,1,FALSE)), "FALSE", "TRUE")</f>
        <v>FALSE</v>
      </c>
      <c r="L278" s="101" t="s">
        <v>753</v>
      </c>
    </row>
    <row r="279" spans="1:12">
      <c r="A279" s="101" t="s">
        <v>754</v>
      </c>
      <c r="B279" s="103" t="s">
        <v>394</v>
      </c>
      <c r="C279" s="101" t="b">
        <f ca="1">OR(AND(ISNUMBER(SEARCH(B278,H2)),G2&gt;F2),(AND(ISNUMBER(SEARCH(B279,H2)),G2&lt;F2)))</f>
        <v>0</v>
      </c>
      <c r="E279" s="101" t="str">
        <f ca="1">IF(ISNA(VLOOKUP(B279,I3:I9,1,FALSE)), "FALSE", "TRUE")</f>
        <v>FALSE</v>
      </c>
      <c r="L279" s="101" t="s">
        <v>754</v>
      </c>
    </row>
    <row r="280" spans="1:12">
      <c r="A280" s="101" t="s">
        <v>755</v>
      </c>
      <c r="B280" s="103" t="s">
        <v>395</v>
      </c>
      <c r="C280" s="101" t="b">
        <f ca="1">OR(AND(ISNUMBER(SEARCH(B279,H2)),G2&gt;F2),(AND(ISNUMBER(SEARCH(B280,H2)),G2&lt;F2)))</f>
        <v>0</v>
      </c>
      <c r="E280" s="101" t="str">
        <f ca="1">IF(ISNA(VLOOKUP(B280,I3:I9,1,FALSE)), "FALSE", "TRUE")</f>
        <v>FALSE</v>
      </c>
      <c r="L280" s="101" t="s">
        <v>755</v>
      </c>
    </row>
    <row r="281" spans="1:12">
      <c r="A281" s="101" t="s">
        <v>756</v>
      </c>
      <c r="B281" s="103" t="s">
        <v>396</v>
      </c>
      <c r="C281" s="101" t="b">
        <f ca="1">OR(AND(ISNUMBER(SEARCH(B280,H2)),G2&gt;F2),(AND(ISNUMBER(SEARCH(B281,H2)),G2&lt;F2)))</f>
        <v>0</v>
      </c>
      <c r="E281" s="101" t="str">
        <f ca="1">IF(ISNA(VLOOKUP(B281,I3:I9,1,FALSE)), "FALSE", "TRUE")</f>
        <v>FALSE</v>
      </c>
      <c r="L281" s="101" t="s">
        <v>756</v>
      </c>
    </row>
    <row r="282" spans="1:12">
      <c r="A282" s="101" t="s">
        <v>123</v>
      </c>
      <c r="B282" s="103" t="s">
        <v>397</v>
      </c>
      <c r="C282" s="101" t="b">
        <f ca="1">OR(AND(ISNUMBER(SEARCH(B281,H2)),G2&gt;F2),(AND(ISNUMBER(SEARCH(B282,H2)),G2&lt;F2)))</f>
        <v>0</v>
      </c>
      <c r="E282" s="101" t="str">
        <f ca="1">IF(ISNA(VLOOKUP(B282,I3:I9,1,FALSE)), "FALSE", "TRUE")</f>
        <v>FALSE</v>
      </c>
      <c r="L282" s="101" t="s">
        <v>123</v>
      </c>
    </row>
    <row r="283" spans="1:12">
      <c r="A283" s="101" t="s">
        <v>125</v>
      </c>
      <c r="B283" s="103" t="s">
        <v>398</v>
      </c>
      <c r="C283" s="101" t="b">
        <f ca="1">OR(AND(ISNUMBER(SEARCH(B282,H2)),G2&gt;F2),(AND(ISNUMBER(SEARCH(B283,H2)),G2&lt;F2)))</f>
        <v>0</v>
      </c>
      <c r="E283" s="101" t="str">
        <f ca="1">IF(ISNA(VLOOKUP(B283,I3:I9,1,FALSE)), "FALSE", "TRUE")</f>
        <v>FALSE</v>
      </c>
      <c r="L283" s="101" t="s">
        <v>125</v>
      </c>
    </row>
    <row r="284" spans="1:12">
      <c r="A284" s="101" t="s">
        <v>127</v>
      </c>
      <c r="B284" s="103" t="s">
        <v>399</v>
      </c>
      <c r="C284" s="101" t="b">
        <f ca="1">OR(AND(ISNUMBER(SEARCH(B283,H2)),G2&gt;F2),(AND(ISNUMBER(SEARCH(B284,H2)),G2&lt;F2)))</f>
        <v>0</v>
      </c>
      <c r="E284" s="101" t="str">
        <f ca="1">IF(ISNA(VLOOKUP(B284,I3:I9,1,FALSE)), "FALSE", "TRUE")</f>
        <v>FALSE</v>
      </c>
      <c r="L284" s="101" t="s">
        <v>127</v>
      </c>
    </row>
    <row r="285" spans="1:12">
      <c r="A285" s="101" t="s">
        <v>129</v>
      </c>
      <c r="B285" s="103" t="s">
        <v>400</v>
      </c>
      <c r="C285" s="101" t="b">
        <f ca="1">OR(AND(ISNUMBER(SEARCH(B284,H2)),G2&gt;F2),(AND(ISNUMBER(SEARCH(B285,H2)),G2&lt;F2)))</f>
        <v>0</v>
      </c>
      <c r="E285" s="101" t="str">
        <f ca="1">IF(ISNA(VLOOKUP(B285,I3:I9,1,FALSE)), "FALSE", "TRUE")</f>
        <v>FALSE</v>
      </c>
      <c r="L285" s="101" t="s">
        <v>129</v>
      </c>
    </row>
    <row r="286" spans="1:12">
      <c r="A286" s="101" t="s">
        <v>757</v>
      </c>
      <c r="B286" s="103" t="s">
        <v>401</v>
      </c>
      <c r="C286" s="101" t="b">
        <f ca="1">OR(AND(ISNUMBER(SEARCH(B285,H2)),G2&gt;F2),(AND(ISNUMBER(SEARCH(B286,H2)),G2&lt;F2)))</f>
        <v>0</v>
      </c>
      <c r="E286" s="101" t="str">
        <f ca="1">IF(ISNA(VLOOKUP(B286,I3:I9,1,FALSE)), "FALSE", "TRUE")</f>
        <v>FALSE</v>
      </c>
      <c r="L286" s="101" t="s">
        <v>757</v>
      </c>
    </row>
    <row r="287" spans="1:12">
      <c r="A287" s="101" t="s">
        <v>758</v>
      </c>
      <c r="B287" s="103" t="s">
        <v>402</v>
      </c>
      <c r="C287" s="101" t="b">
        <f ca="1">OR(AND(ISNUMBER(SEARCH(B286,H2)),G2&gt;F2),(AND(ISNUMBER(SEARCH(B287,H2)),G2&lt;F2)))</f>
        <v>0</v>
      </c>
      <c r="E287" s="101" t="str">
        <f ca="1">IF(ISNA(VLOOKUP(B287,I3:I9,1,FALSE)), "FALSE", "TRUE")</f>
        <v>FALSE</v>
      </c>
      <c r="L287" s="101" t="s">
        <v>758</v>
      </c>
    </row>
    <row r="288" spans="1:12">
      <c r="A288" s="101" t="s">
        <v>759</v>
      </c>
      <c r="B288" s="103" t="s">
        <v>403</v>
      </c>
      <c r="C288" s="101" t="b">
        <f ca="1">OR(AND(ISNUMBER(SEARCH(B287,H2)),G2&gt;F2),(AND(ISNUMBER(SEARCH(B288,H2)),G2&lt;F2)))</f>
        <v>0</v>
      </c>
      <c r="D288" s="103" t="s">
        <v>939</v>
      </c>
      <c r="E288" s="101" t="str">
        <f ca="1">IF(ISNA(VLOOKUP(B288,I3:I9,1,FALSE)), "FALSE", "TRUE")</f>
        <v>FALSE</v>
      </c>
      <c r="J288" s="103" t="s">
        <v>924</v>
      </c>
      <c r="L288" s="101" t="s">
        <v>759</v>
      </c>
    </row>
    <row r="289" spans="1:12">
      <c r="A289" s="101" t="s">
        <v>760</v>
      </c>
      <c r="B289" s="103" t="s">
        <v>404</v>
      </c>
      <c r="C289" s="101" t="b">
        <f ca="1">OR(AND(ISNUMBER(SEARCH(B288,H2)),G2&gt;F2),(AND(ISNUMBER(SEARCH(B289,H2)),G2&lt;F2)))</f>
        <v>0</v>
      </c>
      <c r="E289" s="101" t="str">
        <f ca="1">IF(ISNA(VLOOKUP(B289,I3:I9,1,FALSE)), "FALSE", "TRUE")</f>
        <v>FALSE</v>
      </c>
      <c r="L289" s="101" t="s">
        <v>760</v>
      </c>
    </row>
    <row r="290" spans="1:12">
      <c r="A290" s="101" t="s">
        <v>761</v>
      </c>
      <c r="B290" s="103" t="s">
        <v>405</v>
      </c>
      <c r="C290" s="101" t="b">
        <f ca="1">OR(AND(ISNUMBER(SEARCH(B289,H2)),G2&gt;F2),(AND(ISNUMBER(SEARCH(B290,H2)),G2&lt;F2)))</f>
        <v>0</v>
      </c>
      <c r="E290" s="101" t="str">
        <f ca="1">IF(ISNA(VLOOKUP(B290,I3:I9,1,FALSE)), "FALSE", "TRUE")</f>
        <v>FALSE</v>
      </c>
      <c r="L290" s="101" t="s">
        <v>761</v>
      </c>
    </row>
    <row r="291" spans="1:12">
      <c r="A291" s="101" t="s">
        <v>762</v>
      </c>
      <c r="B291" s="103" t="s">
        <v>406</v>
      </c>
      <c r="C291" s="101" t="b">
        <f ca="1">OR(AND(ISNUMBER(SEARCH(B290,H2)),G2&gt;F2),(AND(ISNUMBER(SEARCH(B291,H2)),G2&lt;F2)))</f>
        <v>0</v>
      </c>
      <c r="E291" s="101" t="str">
        <f ca="1">IF(ISNA(VLOOKUP(B291,I3:I9,1,FALSE)), "FALSE", "TRUE")</f>
        <v>FALSE</v>
      </c>
      <c r="L291" s="101" t="s">
        <v>762</v>
      </c>
    </row>
    <row r="292" spans="1:12">
      <c r="A292" s="101" t="s">
        <v>763</v>
      </c>
      <c r="B292" s="103" t="s">
        <v>407</v>
      </c>
      <c r="C292" s="101" t="b">
        <f ca="1">OR(AND(ISNUMBER(SEARCH(B291,H2)),G2&gt;F2),(AND(ISNUMBER(SEARCH(B292,H2)),G2&lt;F2)))</f>
        <v>0</v>
      </c>
      <c r="E292" s="101" t="str">
        <f ca="1">IF(ISNA(VLOOKUP(B292,I3:I9,1,FALSE)), "FALSE", "TRUE")</f>
        <v>TRUE</v>
      </c>
      <c r="L292" s="101" t="s">
        <v>763</v>
      </c>
    </row>
    <row r="293" spans="1:12">
      <c r="A293" s="101" t="s">
        <v>764</v>
      </c>
      <c r="B293" s="103" t="s">
        <v>408</v>
      </c>
      <c r="C293" s="101" t="b">
        <f ca="1">OR(AND(ISNUMBER(SEARCH(B292,H2)),G2&gt;F2),(AND(ISNUMBER(SEARCH(B293,H2)),G2&lt;F2)))</f>
        <v>0</v>
      </c>
      <c r="E293" s="101" t="str">
        <f ca="1">IF(ISNA(VLOOKUP(B293,I3:I9,1,FALSE)), "FALSE", "TRUE")</f>
        <v>TRUE</v>
      </c>
      <c r="L293" s="101" t="s">
        <v>764</v>
      </c>
    </row>
    <row r="294" spans="1:12">
      <c r="A294" s="101" t="s">
        <v>765</v>
      </c>
      <c r="B294" s="103" t="s">
        <v>409</v>
      </c>
      <c r="C294" s="101" t="b">
        <f ca="1">OR(AND(ISNUMBER(SEARCH(B293,H2)),G2&gt;F2),(AND(ISNUMBER(SEARCH(B294,H2)),G2&lt;F2)))</f>
        <v>0</v>
      </c>
      <c r="E294" s="101" t="str">
        <f ca="1">IF(ISNA(VLOOKUP(B294,I3:I9,1,FALSE)), "FALSE", "TRUE")</f>
        <v>TRUE</v>
      </c>
      <c r="L294" s="101" t="s">
        <v>765</v>
      </c>
    </row>
    <row r="295" spans="1:12">
      <c r="A295" s="101" t="s">
        <v>766</v>
      </c>
      <c r="B295" s="103" t="s">
        <v>410</v>
      </c>
      <c r="C295" s="101" t="b">
        <f ca="1">OR(AND(ISNUMBER(SEARCH(B294,H2)),G2&gt;F2),(AND(ISNUMBER(SEARCH(B295,H2)),G2&lt;F2)))</f>
        <v>0</v>
      </c>
      <c r="E295" s="101" t="str">
        <f ca="1">IF(ISNA(VLOOKUP(B295,I3:I9,1,FALSE)), "FALSE", "TRUE")</f>
        <v>TRUE</v>
      </c>
      <c r="L295" s="101" t="s">
        <v>766</v>
      </c>
    </row>
    <row r="296" spans="1:12">
      <c r="A296" s="101" t="s">
        <v>767</v>
      </c>
      <c r="B296" s="103" t="s">
        <v>411</v>
      </c>
      <c r="C296" s="101" t="b">
        <f ca="1">OR(AND(ISNUMBER(SEARCH(B295,H2)),G2&gt;F2),(AND(ISNUMBER(SEARCH(B296,H2)),G2&lt;F2)))</f>
        <v>0</v>
      </c>
      <c r="E296" s="101" t="str">
        <f ca="1">IF(ISNA(VLOOKUP(B296,I3:I9,1,FALSE)), "FALSE", "TRUE")</f>
        <v>TRUE</v>
      </c>
      <c r="L296" s="101" t="s">
        <v>767</v>
      </c>
    </row>
    <row r="297" spans="1:12">
      <c r="A297" s="101" t="s">
        <v>768</v>
      </c>
      <c r="B297" s="103" t="s">
        <v>412</v>
      </c>
      <c r="C297" s="101" t="b">
        <f ca="1">OR(AND(ISNUMBER(SEARCH(B296,H2)),G2&gt;F2),(AND(ISNUMBER(SEARCH(B297,H2)),G2&lt;F2)))</f>
        <v>1</v>
      </c>
      <c r="E297" s="101" t="str">
        <f ca="1">IF(ISNA(VLOOKUP(B297,I3:I9,1,FALSE)), "FALSE", "TRUE")</f>
        <v>TRUE</v>
      </c>
      <c r="L297" s="101" t="s">
        <v>768</v>
      </c>
    </row>
    <row r="298" spans="1:12">
      <c r="A298" s="101" t="s">
        <v>769</v>
      </c>
      <c r="B298" s="103" t="s">
        <v>413</v>
      </c>
      <c r="C298" s="101" t="b">
        <f ca="1">OR(AND(ISNUMBER(SEARCH(B297,H2)),G2&gt;F2),(AND(ISNUMBER(SEARCH(B298,H2)),G2&lt;F2)))</f>
        <v>0</v>
      </c>
      <c r="E298" s="101" t="str">
        <f ca="1">IF(ISNA(VLOOKUP(B298,I3:I9,1,FALSE)), "FALSE", "TRUE")</f>
        <v>TRUE</v>
      </c>
      <c r="L298" s="101" t="s">
        <v>769</v>
      </c>
    </row>
    <row r="299" spans="1:12">
      <c r="A299" s="101" t="s">
        <v>770</v>
      </c>
      <c r="B299" s="103" t="s">
        <v>414</v>
      </c>
      <c r="C299" s="101" t="b">
        <f ca="1">OR(AND(ISNUMBER(SEARCH(B298,H2)),G2&gt;F2),(AND(ISNUMBER(SEARCH(B299,H2)),G2&lt;F2)))</f>
        <v>0</v>
      </c>
      <c r="E299" s="101" t="str">
        <f ca="1">IF(ISNA(VLOOKUP(B299,I3:I9,1,FALSE)), "FALSE", "TRUE")</f>
        <v>FALSE</v>
      </c>
      <c r="L299" s="101" t="s">
        <v>770</v>
      </c>
    </row>
    <row r="300" spans="1:12">
      <c r="A300" s="101" t="s">
        <v>771</v>
      </c>
      <c r="B300" s="103" t="s">
        <v>415</v>
      </c>
      <c r="C300" s="101" t="b">
        <f ca="1">OR(AND(ISNUMBER(SEARCH(B299,H2)),G2&gt;F2),(AND(ISNUMBER(SEARCH(B300,H2)),G2&lt;F2)))</f>
        <v>0</v>
      </c>
      <c r="E300" s="101" t="str">
        <f ca="1">IF(ISNA(VLOOKUP(B300,I3:I9,1,FALSE)), "FALSE", "TRUE")</f>
        <v>FALSE</v>
      </c>
      <c r="L300" s="101" t="s">
        <v>771</v>
      </c>
    </row>
    <row r="301" spans="1:12">
      <c r="A301" s="101" t="s">
        <v>772</v>
      </c>
      <c r="B301" s="103" t="s">
        <v>416</v>
      </c>
      <c r="C301" s="101" t="b">
        <f ca="1">OR(AND(ISNUMBER(SEARCH(B300,H2)),G2&gt;F2),(AND(ISNUMBER(SEARCH(B301,H2)),G2&lt;F2)))</f>
        <v>0</v>
      </c>
      <c r="E301" s="101" t="str">
        <f ca="1">IF(ISNA(VLOOKUP(B301,I3:I9,1,FALSE)), "FALSE", "TRUE")</f>
        <v>FALSE</v>
      </c>
      <c r="L301" s="101" t="s">
        <v>772</v>
      </c>
    </row>
    <row r="302" spans="1:12">
      <c r="A302" s="101" t="s">
        <v>773</v>
      </c>
      <c r="B302" s="103" t="s">
        <v>417</v>
      </c>
      <c r="C302" s="101" t="b">
        <f ca="1">OR(AND(ISNUMBER(SEARCH(B301,H2)),G2&gt;F2),(AND(ISNUMBER(SEARCH(B302,H2)),G2&lt;F2)))</f>
        <v>0</v>
      </c>
      <c r="E302" s="101" t="str">
        <f ca="1">IF(ISNA(VLOOKUP(B302,I3:I9,1,FALSE)), "FALSE", "TRUE")</f>
        <v>FALSE</v>
      </c>
      <c r="L302" s="101" t="s">
        <v>773</v>
      </c>
    </row>
    <row r="303" spans="1:12">
      <c r="A303" s="101" t="s">
        <v>774</v>
      </c>
      <c r="B303" s="103" t="s">
        <v>418</v>
      </c>
      <c r="C303" s="101" t="b">
        <f ca="1">OR(AND(ISNUMBER(SEARCH(B302,H2)),G2&gt;F2),(AND(ISNUMBER(SEARCH(B303,H2)),G2&lt;F2)))</f>
        <v>0</v>
      </c>
      <c r="E303" s="101" t="str">
        <f ca="1">IF(ISNA(VLOOKUP(B303,I3:I9,1,FALSE)), "FALSE", "TRUE")</f>
        <v>FALSE</v>
      </c>
      <c r="L303" s="101" t="s">
        <v>774</v>
      </c>
    </row>
    <row r="304" spans="1:12">
      <c r="A304" s="101" t="s">
        <v>775</v>
      </c>
      <c r="B304" s="103" t="s">
        <v>419</v>
      </c>
      <c r="C304" s="101" t="b">
        <f ca="1">OR(AND(ISNUMBER(SEARCH(B303,H2)),G2&gt;F2),(AND(ISNUMBER(SEARCH(B304,H2)),G2&lt;F2)))</f>
        <v>0</v>
      </c>
      <c r="E304" s="101" t="str">
        <f ca="1">IF(ISNA(VLOOKUP(B304,I3:I9,1,FALSE)), "FALSE", "TRUE")</f>
        <v>FALSE</v>
      </c>
      <c r="L304" s="101" t="s">
        <v>775</v>
      </c>
    </row>
    <row r="305" spans="1:12">
      <c r="A305" s="101" t="s">
        <v>776</v>
      </c>
      <c r="B305" s="103" t="s">
        <v>420</v>
      </c>
      <c r="C305" s="101" t="b">
        <f ca="1">OR(AND(ISNUMBER(SEARCH(B304,H2)),G2&gt;F2),(AND(ISNUMBER(SEARCH(B305,H2)),G2&lt;F2)))</f>
        <v>0</v>
      </c>
      <c r="E305" s="101" t="str">
        <f ca="1">IF(ISNA(VLOOKUP(B305,I3:I9,1,FALSE)), "FALSE", "TRUE")</f>
        <v>FALSE</v>
      </c>
      <c r="L305" s="101" t="s">
        <v>776</v>
      </c>
    </row>
    <row r="306" spans="1:12">
      <c r="A306" s="101" t="s">
        <v>777</v>
      </c>
      <c r="B306" s="103" t="s">
        <v>421</v>
      </c>
      <c r="C306" s="101" t="b">
        <f ca="1">OR(AND(ISNUMBER(SEARCH(B305,H2)),G2&gt;F2),(AND(ISNUMBER(SEARCH(B306,H2)),G2&lt;F2)))</f>
        <v>0</v>
      </c>
      <c r="D306" s="103" t="s">
        <v>940</v>
      </c>
      <c r="E306" s="101" t="str">
        <f ca="1">IF(ISNA(VLOOKUP(B306,I3:I9,1,FALSE)), "FALSE", "TRUE")</f>
        <v>FALSE</v>
      </c>
      <c r="J306" s="103" t="s">
        <v>925</v>
      </c>
      <c r="L306" s="101" t="s">
        <v>777</v>
      </c>
    </row>
    <row r="307" spans="1:12">
      <c r="A307" s="101" t="s">
        <v>778</v>
      </c>
      <c r="B307" s="103" t="s">
        <v>422</v>
      </c>
      <c r="C307" s="101" t="b">
        <f ca="1">OR(AND(ISNUMBER(SEARCH(B306,H2)),G2&gt;F2),(AND(ISNUMBER(SEARCH(B307,H2)),G2&lt;F2)))</f>
        <v>0</v>
      </c>
      <c r="D307" s="103" t="s">
        <v>940</v>
      </c>
      <c r="E307" s="101" t="str">
        <f ca="1">IF(ISNA(VLOOKUP(B307,I3:I9,1,FALSE)), "FALSE", "TRUE")</f>
        <v>FALSE</v>
      </c>
      <c r="J307" s="103" t="s">
        <v>926</v>
      </c>
      <c r="L307" s="101" t="s">
        <v>778</v>
      </c>
    </row>
    <row r="308" spans="1:12">
      <c r="A308" s="101" t="s">
        <v>779</v>
      </c>
      <c r="B308" s="103" t="s">
        <v>423</v>
      </c>
      <c r="C308" s="101" t="b">
        <f ca="1">OR(AND(ISNUMBER(SEARCH(B307,H2)),G2&gt;F2),(AND(ISNUMBER(SEARCH(B308,H2)),G2&lt;F2)))</f>
        <v>0</v>
      </c>
      <c r="E308" s="101" t="str">
        <f ca="1">IF(ISNA(VLOOKUP(B308,I3:I9,1,FALSE)), "FALSE", "TRUE")</f>
        <v>FALSE</v>
      </c>
      <c r="L308" s="101" t="s">
        <v>779</v>
      </c>
    </row>
    <row r="309" spans="1:12">
      <c r="A309" s="101" t="s">
        <v>780</v>
      </c>
      <c r="B309" s="103" t="s">
        <v>424</v>
      </c>
      <c r="C309" s="101" t="b">
        <f ca="1">OR(AND(ISNUMBER(SEARCH(B308,H2)),G2&gt;F2),(AND(ISNUMBER(SEARCH(B309,H2)),G2&lt;F2)))</f>
        <v>0</v>
      </c>
      <c r="E309" s="101" t="str">
        <f ca="1">IF(ISNA(VLOOKUP(B309,I3:I9,1,FALSE)), "FALSE", "TRUE")</f>
        <v>FALSE</v>
      </c>
      <c r="L309" s="101" t="s">
        <v>780</v>
      </c>
    </row>
    <row r="310" spans="1:12">
      <c r="A310" s="101" t="s">
        <v>781</v>
      </c>
      <c r="B310" s="103" t="s">
        <v>425</v>
      </c>
      <c r="C310" s="101" t="b">
        <f ca="1">OR(AND(ISNUMBER(SEARCH(B309,H2)),G2&gt;F2),(AND(ISNUMBER(SEARCH(B310,H2)),G2&lt;F2)))</f>
        <v>0</v>
      </c>
      <c r="E310" s="101" t="str">
        <f ca="1">IF(ISNA(VLOOKUP(B310,I3:I9,1,FALSE)), "FALSE", "TRUE")</f>
        <v>FALSE</v>
      </c>
      <c r="L310" s="101" t="s">
        <v>781</v>
      </c>
    </row>
    <row r="311" spans="1:12">
      <c r="A311" s="101" t="s">
        <v>782</v>
      </c>
      <c r="B311" s="103" t="s">
        <v>426</v>
      </c>
      <c r="C311" s="101" t="b">
        <f ca="1">OR(AND(ISNUMBER(SEARCH(B310,H2)),G2&gt;F2),(AND(ISNUMBER(SEARCH(B311,H2)),G2&lt;F2)))</f>
        <v>0</v>
      </c>
      <c r="E311" s="101" t="str">
        <f ca="1">IF(ISNA(VLOOKUP(B311,I3:I9,1,FALSE)), "FALSE", "TRUE")</f>
        <v>FALSE</v>
      </c>
      <c r="L311" s="101" t="s">
        <v>782</v>
      </c>
    </row>
    <row r="312" spans="1:12">
      <c r="A312" s="101" t="s">
        <v>783</v>
      </c>
      <c r="B312" s="103" t="s">
        <v>427</v>
      </c>
      <c r="C312" s="101" t="b">
        <f ca="1">OR(AND(ISNUMBER(SEARCH(B311,H2)),G2&gt;F2),(AND(ISNUMBER(SEARCH(B312,H2)),G2&lt;F2)))</f>
        <v>0</v>
      </c>
      <c r="E312" s="101" t="str">
        <f ca="1">IF(ISNA(VLOOKUP(B312,I3:I9,1,FALSE)), "FALSE", "TRUE")</f>
        <v>FALSE</v>
      </c>
      <c r="L312" s="101" t="s">
        <v>783</v>
      </c>
    </row>
    <row r="313" spans="1:12">
      <c r="A313" s="101" t="s">
        <v>784</v>
      </c>
      <c r="B313" s="103" t="s">
        <v>428</v>
      </c>
      <c r="C313" s="101" t="b">
        <f ca="1">OR(AND(ISNUMBER(SEARCH(B312,H2)),G2&gt;F2),(AND(ISNUMBER(SEARCH(B313,H2)),G2&lt;F2)))</f>
        <v>0</v>
      </c>
      <c r="E313" s="101" t="str">
        <f ca="1">IF(ISNA(VLOOKUP(B313,I3:I9,1,FALSE)), "FALSE", "TRUE")</f>
        <v>FALSE</v>
      </c>
      <c r="L313" s="101" t="s">
        <v>784</v>
      </c>
    </row>
    <row r="314" spans="1:12">
      <c r="A314" s="101" t="s">
        <v>785</v>
      </c>
      <c r="B314" s="103" t="s">
        <v>429</v>
      </c>
      <c r="C314" s="101" t="b">
        <f ca="1">OR(AND(ISNUMBER(SEARCH(B313,H2)),G2&gt;F2),(AND(ISNUMBER(SEARCH(B314,H2)),G2&lt;F2)))</f>
        <v>0</v>
      </c>
      <c r="E314" s="101" t="str">
        <f ca="1">IF(ISNA(VLOOKUP(B314,I3:I9,1,FALSE)), "FALSE", "TRUE")</f>
        <v>FALSE</v>
      </c>
      <c r="L314" s="101" t="s">
        <v>785</v>
      </c>
    </row>
    <row r="315" spans="1:12">
      <c r="A315" s="101" t="s">
        <v>786</v>
      </c>
      <c r="B315" s="103" t="s">
        <v>430</v>
      </c>
      <c r="C315" s="101" t="b">
        <f ca="1">OR(AND(ISNUMBER(SEARCH(B314,H2)),G2&gt;F2),(AND(ISNUMBER(SEARCH(B315,H2)),G2&lt;F2)))</f>
        <v>0</v>
      </c>
      <c r="E315" s="101" t="str">
        <f ca="1">IF(ISNA(VLOOKUP(B315,I3:I9,1,FALSE)), "FALSE", "TRUE")</f>
        <v>FALSE</v>
      </c>
      <c r="L315" s="101" t="s">
        <v>786</v>
      </c>
    </row>
    <row r="316" spans="1:12">
      <c r="A316" s="101" t="s">
        <v>787</v>
      </c>
      <c r="B316" s="103" t="s">
        <v>431</v>
      </c>
      <c r="C316" s="101" t="b">
        <f ca="1">OR(AND(ISNUMBER(SEARCH(B315,H2)),G2&gt;F2),(AND(ISNUMBER(SEARCH(B316,H2)),G2&lt;F2)))</f>
        <v>0</v>
      </c>
      <c r="E316" s="101" t="str">
        <f ca="1">IF(ISNA(VLOOKUP(B316,I3:I9,1,FALSE)), "FALSE", "TRUE")</f>
        <v>FALSE</v>
      </c>
      <c r="L316" s="101" t="s">
        <v>787</v>
      </c>
    </row>
    <row r="317" spans="1:12">
      <c r="A317" s="101" t="s">
        <v>788</v>
      </c>
      <c r="B317" s="103" t="s">
        <v>432</v>
      </c>
      <c r="C317" s="101" t="b">
        <f ca="1">OR(AND(ISNUMBER(SEARCH(B316,H2)),G2&gt;F2),(AND(ISNUMBER(SEARCH(B317,H2)),G2&lt;F2)))</f>
        <v>0</v>
      </c>
      <c r="E317" s="101" t="str">
        <f ca="1">IF(ISNA(VLOOKUP(B317,I3:I9,1,FALSE)), "FALSE", "TRUE")</f>
        <v>FALSE</v>
      </c>
      <c r="L317" s="101" t="s">
        <v>788</v>
      </c>
    </row>
    <row r="318" spans="1:12">
      <c r="A318" s="101" t="s">
        <v>789</v>
      </c>
      <c r="B318" s="103" t="s">
        <v>433</v>
      </c>
      <c r="C318" s="101" t="b">
        <f ca="1">OR(AND(ISNUMBER(SEARCH(B317,H2)),G2&gt;F2),(AND(ISNUMBER(SEARCH(B318,H2)),G2&lt;F2)))</f>
        <v>0</v>
      </c>
      <c r="E318" s="101" t="str">
        <f ca="1">IF(ISNA(VLOOKUP(B318,I3:I9,1,FALSE)), "FALSE", "TRUE")</f>
        <v>FALSE</v>
      </c>
      <c r="L318" s="101" t="s">
        <v>789</v>
      </c>
    </row>
    <row r="319" spans="1:12">
      <c r="A319" s="101" t="s">
        <v>790</v>
      </c>
      <c r="B319" s="103" t="s">
        <v>434</v>
      </c>
      <c r="C319" s="101" t="b">
        <f ca="1">OR(AND(ISNUMBER(SEARCH(B318,H2)),G2&gt;F2),(AND(ISNUMBER(SEARCH(B319,H2)),G2&lt;F2)))</f>
        <v>0</v>
      </c>
      <c r="E319" s="101" t="str">
        <f ca="1">IF(ISNA(VLOOKUP(B319,I3:I9,1,FALSE)), "FALSE", "TRUE")</f>
        <v>FALSE</v>
      </c>
      <c r="L319" s="101" t="s">
        <v>790</v>
      </c>
    </row>
    <row r="320" spans="1:12">
      <c r="A320" s="101" t="s">
        <v>791</v>
      </c>
      <c r="B320" s="103" t="s">
        <v>435</v>
      </c>
      <c r="C320" s="101" t="b">
        <f ca="1">OR(AND(ISNUMBER(SEARCH(B319,H2)),G2&gt;F2),(AND(ISNUMBER(SEARCH(B320,H2)),G2&lt;F2)))</f>
        <v>0</v>
      </c>
      <c r="E320" s="101" t="str">
        <f ca="1">IF(ISNA(VLOOKUP(B320,I3:I9,1,FALSE)), "FALSE", "TRUE")</f>
        <v>FALSE</v>
      </c>
      <c r="L320" s="101" t="s">
        <v>791</v>
      </c>
    </row>
    <row r="321" spans="1:12">
      <c r="A321" s="101" t="s">
        <v>792</v>
      </c>
      <c r="B321" s="103" t="s">
        <v>436</v>
      </c>
      <c r="C321" s="101" t="b">
        <f ca="1">OR(AND(ISNUMBER(SEARCH(B320,H2)),G2&gt;F2),(AND(ISNUMBER(SEARCH(B321,H2)),G2&lt;F2)))</f>
        <v>0</v>
      </c>
      <c r="E321" s="101" t="str">
        <f ca="1">IF(ISNA(VLOOKUP(B321,I3:I9,1,FALSE)), "FALSE", "TRUE")</f>
        <v>FALSE</v>
      </c>
      <c r="L321" s="101" t="s">
        <v>792</v>
      </c>
    </row>
    <row r="322" spans="1:12">
      <c r="A322" s="101" t="s">
        <v>793</v>
      </c>
      <c r="B322" s="103" t="s">
        <v>437</v>
      </c>
      <c r="C322" s="101" t="b">
        <f ca="1">OR(AND(ISNUMBER(SEARCH(B321,H2)),G2&gt;F2),(AND(ISNUMBER(SEARCH(B322,H2)),G2&lt;F2)))</f>
        <v>0</v>
      </c>
      <c r="E322" s="101" t="str">
        <f ca="1">IF(ISNA(VLOOKUP(B322,I3:I9,1,FALSE)), "FALSE", "TRUE")</f>
        <v>FALSE</v>
      </c>
      <c r="L322" s="101" t="s">
        <v>793</v>
      </c>
    </row>
    <row r="323" spans="1:12">
      <c r="A323" s="101" t="s">
        <v>794</v>
      </c>
      <c r="B323" s="103" t="s">
        <v>438</v>
      </c>
      <c r="C323" s="101" t="b">
        <f ca="1">OR(AND(ISNUMBER(SEARCH(B322,H2)),G2&gt;F2),(AND(ISNUMBER(SEARCH(B323,H2)),G2&lt;F2)))</f>
        <v>0</v>
      </c>
      <c r="E323" s="101" t="str">
        <f ca="1">IF(ISNA(VLOOKUP(B323,I3:I9,1,FALSE)), "FALSE", "TRUE")</f>
        <v>FALSE</v>
      </c>
      <c r="L323" s="101" t="s">
        <v>794</v>
      </c>
    </row>
    <row r="324" spans="1:12">
      <c r="A324" s="101" t="s">
        <v>795</v>
      </c>
      <c r="B324" s="103" t="s">
        <v>439</v>
      </c>
      <c r="C324" s="101" t="b">
        <f ca="1">OR(AND(ISNUMBER(SEARCH(B323,H2)),G2&gt;F2),(AND(ISNUMBER(SEARCH(B324,H2)),G2&lt;F2)))</f>
        <v>0</v>
      </c>
      <c r="E324" s="101" t="str">
        <f ca="1">IF(ISNA(VLOOKUP(B324,I3:I9,1,FALSE)), "FALSE", "TRUE")</f>
        <v>FALSE</v>
      </c>
      <c r="L324" s="101" t="s">
        <v>795</v>
      </c>
    </row>
    <row r="325" spans="1:12">
      <c r="A325" s="101" t="s">
        <v>796</v>
      </c>
      <c r="B325" s="103" t="s">
        <v>440</v>
      </c>
      <c r="C325" s="101" t="b">
        <f ca="1">OR(AND(ISNUMBER(SEARCH(B324,H2)),G2&gt;F2),(AND(ISNUMBER(SEARCH(B325,H2)),G2&lt;F2)))</f>
        <v>0</v>
      </c>
      <c r="E325" s="101" t="str">
        <f ca="1">IF(ISNA(VLOOKUP(B325,I3:I9,1,FALSE)), "FALSE", "TRUE")</f>
        <v>FALSE</v>
      </c>
      <c r="L325" s="101" t="s">
        <v>796</v>
      </c>
    </row>
    <row r="326" spans="1:12">
      <c r="A326" s="101" t="s">
        <v>797</v>
      </c>
      <c r="B326" s="103" t="s">
        <v>441</v>
      </c>
      <c r="C326" s="101" t="b">
        <f ca="1">OR(AND(ISNUMBER(SEARCH(B325,H2)),G2&gt;F2),(AND(ISNUMBER(SEARCH(B326,H2)),G2&lt;F2)))</f>
        <v>0</v>
      </c>
      <c r="E326" s="101" t="str">
        <f ca="1">IF(ISNA(VLOOKUP(B326,I3:I9,1,FALSE)), "FALSE", "TRUE")</f>
        <v>FALSE</v>
      </c>
      <c r="L326" s="101" t="s">
        <v>797</v>
      </c>
    </row>
    <row r="327" spans="1:12">
      <c r="A327" s="101" t="s">
        <v>798</v>
      </c>
      <c r="B327" s="103" t="s">
        <v>442</v>
      </c>
      <c r="C327" s="101" t="b">
        <f ca="1">OR(AND(ISNUMBER(SEARCH(B326,H2)),G2&gt;F2),(AND(ISNUMBER(SEARCH(B327,H2)),G2&lt;F2)))</f>
        <v>0</v>
      </c>
      <c r="E327" s="101" t="str">
        <f ca="1">IF(ISNA(VLOOKUP(B327,I3:I9,1,FALSE)), "FALSE", "TRUE")</f>
        <v>FALSE</v>
      </c>
      <c r="L327" s="101" t="s">
        <v>798</v>
      </c>
    </row>
    <row r="328" spans="1:12">
      <c r="A328" s="101" t="s">
        <v>799</v>
      </c>
      <c r="B328" s="103" t="s">
        <v>443</v>
      </c>
      <c r="C328" s="101" t="b">
        <f ca="1">OR(AND(ISNUMBER(SEARCH(B327,H2)),G2&gt;F2),(AND(ISNUMBER(SEARCH(B328,H2)),G2&lt;F2)))</f>
        <v>0</v>
      </c>
      <c r="E328" s="101" t="str">
        <f ca="1">IF(ISNA(VLOOKUP(B328,I3:I9,1,FALSE)), "FALSE", "TRUE")</f>
        <v>FALSE</v>
      </c>
      <c r="L328" s="101" t="s">
        <v>799</v>
      </c>
    </row>
    <row r="329" spans="1:12">
      <c r="A329" s="101" t="s">
        <v>800</v>
      </c>
      <c r="B329" s="103" t="s">
        <v>444</v>
      </c>
      <c r="C329" s="101" t="b">
        <f ca="1">OR(AND(ISNUMBER(SEARCH(B328,H2)),G2&gt;F2),(AND(ISNUMBER(SEARCH(B329,H2)),G2&lt;F2)))</f>
        <v>0</v>
      </c>
      <c r="E329" s="101" t="str">
        <f ca="1">IF(ISNA(VLOOKUP(B329,I3:I9,1,FALSE)), "FALSE", "TRUE")</f>
        <v>FALSE</v>
      </c>
      <c r="L329" s="101" t="s">
        <v>800</v>
      </c>
    </row>
    <row r="330" spans="1:12">
      <c r="A330" s="101" t="s">
        <v>801</v>
      </c>
      <c r="B330" s="103" t="s">
        <v>445</v>
      </c>
      <c r="C330" s="101" t="b">
        <f ca="1">OR(AND(ISNUMBER(SEARCH(B329,H2)),G2&gt;F2),(AND(ISNUMBER(SEARCH(B330,H2)),G2&lt;F2)))</f>
        <v>0</v>
      </c>
      <c r="E330" s="101" t="str">
        <f ca="1">IF(ISNA(VLOOKUP(B330,I3:I9,1,FALSE)), "FALSE", "TRUE")</f>
        <v>FALSE</v>
      </c>
      <c r="L330" s="101" t="s">
        <v>801</v>
      </c>
    </row>
    <row r="331" spans="1:12">
      <c r="A331" s="101" t="s">
        <v>802</v>
      </c>
      <c r="B331" s="103" t="s">
        <v>446</v>
      </c>
      <c r="C331" s="101" t="b">
        <f ca="1">OR(AND(ISNUMBER(SEARCH(B330,H2)),G2&gt;F2),(AND(ISNUMBER(SEARCH(B331,H2)),G2&lt;F2)))</f>
        <v>0</v>
      </c>
      <c r="E331" s="101" t="str">
        <f ca="1">IF(ISNA(VLOOKUP(B331,I3:I9,1,FALSE)), "FALSE", "TRUE")</f>
        <v>FALSE</v>
      </c>
      <c r="L331" s="101" t="s">
        <v>802</v>
      </c>
    </row>
    <row r="332" spans="1:12">
      <c r="A332" s="101" t="s">
        <v>803</v>
      </c>
      <c r="B332" s="103" t="s">
        <v>447</v>
      </c>
      <c r="C332" s="101" t="b">
        <f ca="1">OR(AND(ISNUMBER(SEARCH(B331,H2)),G2&gt;F2),(AND(ISNUMBER(SEARCH(B332,H2)),G2&lt;F2)))</f>
        <v>0</v>
      </c>
      <c r="E332" s="101" t="str">
        <f ca="1">IF(ISNA(VLOOKUP(B332,I3:I9,1,FALSE)), "FALSE", "TRUE")</f>
        <v>FALSE</v>
      </c>
      <c r="L332" s="101" t="s">
        <v>803</v>
      </c>
    </row>
    <row r="333" spans="1:12">
      <c r="A333" s="101" t="s">
        <v>804</v>
      </c>
      <c r="B333" s="103" t="s">
        <v>448</v>
      </c>
      <c r="C333" s="101" t="b">
        <f ca="1">OR(AND(ISNUMBER(SEARCH(B332,H2)),G2&gt;F2),(AND(ISNUMBER(SEARCH(B333,H2)),G2&lt;F2)))</f>
        <v>0</v>
      </c>
      <c r="E333" s="101" t="str">
        <f ca="1">IF(ISNA(VLOOKUP(B333,I3:I9,1,FALSE)), "FALSE", "TRUE")</f>
        <v>FALSE</v>
      </c>
      <c r="L333" s="101" t="s">
        <v>804</v>
      </c>
    </row>
    <row r="334" spans="1:12">
      <c r="A334" s="101" t="s">
        <v>805</v>
      </c>
      <c r="B334" s="103" t="s">
        <v>449</v>
      </c>
      <c r="C334" s="101" t="b">
        <f ca="1">OR(AND(ISNUMBER(SEARCH(B333,H2)),G2&gt;F2),(AND(ISNUMBER(SEARCH(B334,H2)),G2&lt;F2)))</f>
        <v>0</v>
      </c>
      <c r="E334" s="101" t="str">
        <f ca="1">IF(ISNA(VLOOKUP(B334,I3:I9,1,FALSE)), "FALSE", "TRUE")</f>
        <v>FALSE</v>
      </c>
      <c r="L334" s="101" t="s">
        <v>805</v>
      </c>
    </row>
    <row r="335" spans="1:12">
      <c r="A335" s="101" t="s">
        <v>806</v>
      </c>
      <c r="B335" s="103" t="s">
        <v>450</v>
      </c>
      <c r="C335" s="101" t="b">
        <f ca="1">OR(AND(ISNUMBER(SEARCH(B334,H2)),G2&gt;F2),(AND(ISNUMBER(SEARCH(B335,H2)),G2&lt;F2)))</f>
        <v>0</v>
      </c>
      <c r="E335" s="101" t="str">
        <f ca="1">IF(ISNA(VLOOKUP(B335,I3:I9,1,FALSE)), "FALSE", "TRUE")</f>
        <v>FALSE</v>
      </c>
      <c r="L335" s="101" t="s">
        <v>806</v>
      </c>
    </row>
    <row r="336" spans="1:12">
      <c r="A336" s="101" t="s">
        <v>807</v>
      </c>
      <c r="B336" s="103" t="s">
        <v>451</v>
      </c>
      <c r="C336" s="101" t="b">
        <f ca="1">OR(AND(ISNUMBER(SEARCH(B335,H2)),G2&gt;F2),(AND(ISNUMBER(SEARCH(B336,H2)),G2&lt;F2)))</f>
        <v>0</v>
      </c>
      <c r="E336" s="101" t="str">
        <f ca="1">IF(ISNA(VLOOKUP(B336,I3:I9,1,FALSE)), "FALSE", "TRUE")</f>
        <v>FALSE</v>
      </c>
      <c r="L336" s="101" t="s">
        <v>807</v>
      </c>
    </row>
    <row r="337" spans="1:12">
      <c r="A337" s="101" t="s">
        <v>808</v>
      </c>
      <c r="B337" s="103" t="s">
        <v>452</v>
      </c>
      <c r="C337" s="101" t="b">
        <f ca="1">OR(AND(ISNUMBER(SEARCH(B336,H2)),G2&gt;F2),(AND(ISNUMBER(SEARCH(B337,H2)),G2&lt;F2)))</f>
        <v>0</v>
      </c>
      <c r="E337" s="101" t="str">
        <f ca="1">IF(ISNA(VLOOKUP(B337,I3:I9,1,FALSE)), "FALSE", "TRUE")</f>
        <v>FALSE</v>
      </c>
      <c r="L337" s="101" t="s">
        <v>808</v>
      </c>
    </row>
    <row r="338" spans="1:12">
      <c r="A338" s="101" t="s">
        <v>809</v>
      </c>
      <c r="B338" s="103" t="s">
        <v>453</v>
      </c>
      <c r="C338" s="101" t="b">
        <f ca="1">OR(AND(ISNUMBER(SEARCH(B337,H2)),G2&gt;F2),(AND(ISNUMBER(SEARCH(B338,H2)),G2&lt;F2)))</f>
        <v>0</v>
      </c>
      <c r="E338" s="101" t="str">
        <f ca="1">IF(ISNA(VLOOKUP(B338,I3:I9,1,FALSE)), "FALSE", "TRUE")</f>
        <v>FALSE</v>
      </c>
      <c r="L338" s="101" t="s">
        <v>809</v>
      </c>
    </row>
    <row r="339" spans="1:12">
      <c r="A339" s="101" t="s">
        <v>810</v>
      </c>
      <c r="B339" s="103" t="s">
        <v>454</v>
      </c>
      <c r="C339" s="101" t="b">
        <f ca="1">OR(AND(ISNUMBER(SEARCH(B338,H2)),G2&gt;F2),(AND(ISNUMBER(SEARCH(B339,H2)),G2&lt;F2)))</f>
        <v>0</v>
      </c>
      <c r="E339" s="101" t="str">
        <f ca="1">IF(ISNA(VLOOKUP(B339,I3:I9,1,FALSE)), "FALSE", "TRUE")</f>
        <v>FALSE</v>
      </c>
      <c r="L339" s="101" t="s">
        <v>810</v>
      </c>
    </row>
    <row r="340" spans="1:12">
      <c r="A340" s="101" t="s">
        <v>811</v>
      </c>
      <c r="B340" s="103" t="s">
        <v>455</v>
      </c>
      <c r="C340" s="101" t="b">
        <f ca="1">OR(AND(ISNUMBER(SEARCH(B339,H2)),G2&gt;F2),(AND(ISNUMBER(SEARCH(B340,H2)),G2&lt;F2)))</f>
        <v>0</v>
      </c>
      <c r="E340" s="101" t="str">
        <f ca="1">IF(ISNA(VLOOKUP(B340,I3:I9,1,FALSE)), "FALSE", "TRUE")</f>
        <v>FALSE</v>
      </c>
      <c r="L340" s="101" t="s">
        <v>811</v>
      </c>
    </row>
    <row r="341" spans="1:12">
      <c r="A341" s="101" t="s">
        <v>812</v>
      </c>
      <c r="B341" s="103" t="s">
        <v>456</v>
      </c>
      <c r="C341" s="101" t="b">
        <f ca="1">OR(AND(ISNUMBER(SEARCH(B340,H2)),G2&gt;F2),(AND(ISNUMBER(SEARCH(B341,H2)),G2&lt;F2)))</f>
        <v>0</v>
      </c>
      <c r="E341" s="101" t="str">
        <f ca="1">IF(ISNA(VLOOKUP(B341,I3:I9,1,FALSE)), "FALSE", "TRUE")</f>
        <v>FALSE</v>
      </c>
      <c r="L341" s="101" t="s">
        <v>812</v>
      </c>
    </row>
    <row r="342" spans="1:12">
      <c r="A342" s="101" t="s">
        <v>813</v>
      </c>
      <c r="B342" s="103" t="s">
        <v>457</v>
      </c>
      <c r="C342" s="101" t="b">
        <f ca="1">OR(AND(ISNUMBER(SEARCH(B341,H2)),G2&gt;F2),(AND(ISNUMBER(SEARCH(B342,H2)),G2&lt;F2)))</f>
        <v>0</v>
      </c>
      <c r="E342" s="101" t="str">
        <f ca="1">IF(ISNA(VLOOKUP(B342,I3:I9,1,FALSE)), "FALSE", "TRUE")</f>
        <v>FALSE</v>
      </c>
      <c r="L342" s="101" t="s">
        <v>813</v>
      </c>
    </row>
    <row r="343" spans="1:12">
      <c r="A343" s="101" t="s">
        <v>814</v>
      </c>
      <c r="B343" s="103" t="s">
        <v>458</v>
      </c>
      <c r="C343" s="101" t="b">
        <f ca="1">OR(AND(ISNUMBER(SEARCH(B342,H2)),G2&gt;F2),(AND(ISNUMBER(SEARCH(B343,H2)),G2&lt;F2)))</f>
        <v>0</v>
      </c>
      <c r="E343" s="101" t="str">
        <f ca="1">IF(ISNA(VLOOKUP(B343,I3:I9,1,FALSE)), "FALSE", "TRUE")</f>
        <v>FALSE</v>
      </c>
      <c r="L343" s="101" t="s">
        <v>814</v>
      </c>
    </row>
    <row r="344" spans="1:12">
      <c r="A344" s="101" t="s">
        <v>815</v>
      </c>
      <c r="B344" s="103" t="s">
        <v>459</v>
      </c>
      <c r="C344" s="101" t="b">
        <f ca="1">OR(AND(ISNUMBER(SEARCH(B343,H2)),G2&gt;F2),(AND(ISNUMBER(SEARCH(B344,H2)),G2&lt;F2)))</f>
        <v>0</v>
      </c>
      <c r="E344" s="101" t="str">
        <f ca="1">IF(ISNA(VLOOKUP(B344,I3:I9,1,FALSE)), "FALSE", "TRUE")</f>
        <v>FALSE</v>
      </c>
      <c r="L344" s="101" t="s">
        <v>815</v>
      </c>
    </row>
    <row r="345" spans="1:12">
      <c r="A345" s="101" t="s">
        <v>816</v>
      </c>
      <c r="B345" s="103" t="s">
        <v>460</v>
      </c>
      <c r="C345" s="101" t="b">
        <f ca="1">OR(AND(ISNUMBER(SEARCH(B344,H2)),G2&gt;F2),(AND(ISNUMBER(SEARCH(B345,H2)),G2&lt;F2)))</f>
        <v>0</v>
      </c>
      <c r="E345" s="101" t="str">
        <f ca="1">IF(ISNA(VLOOKUP(B345,I3:I9,1,FALSE)), "FALSE", "TRUE")</f>
        <v>FALSE</v>
      </c>
      <c r="L345" s="101" t="s">
        <v>816</v>
      </c>
    </row>
    <row r="346" spans="1:12">
      <c r="A346" s="101" t="s">
        <v>817</v>
      </c>
      <c r="B346" s="103" t="s">
        <v>461</v>
      </c>
      <c r="C346" s="101" t="b">
        <f ca="1">OR(AND(ISNUMBER(SEARCH(B345,H2)),G2&gt;F2),(AND(ISNUMBER(SEARCH(B346,H2)),G2&lt;F2)))</f>
        <v>0</v>
      </c>
      <c r="E346" s="101" t="str">
        <f ca="1">IF(ISNA(VLOOKUP(B346,I3:I9,1,FALSE)), "FALSE", "TRUE")</f>
        <v>FALSE</v>
      </c>
      <c r="L346" s="101" t="s">
        <v>817</v>
      </c>
    </row>
    <row r="347" spans="1:12">
      <c r="A347" s="101" t="s">
        <v>818</v>
      </c>
      <c r="B347" s="103" t="s">
        <v>462</v>
      </c>
      <c r="C347" s="101" t="b">
        <f ca="1">OR(AND(ISNUMBER(SEARCH(B346,H2)),G2&gt;F2),(AND(ISNUMBER(SEARCH(B347,H2)),G2&lt;F2)))</f>
        <v>0</v>
      </c>
      <c r="E347" s="101" t="str">
        <f ca="1">IF(ISNA(VLOOKUP(B347,I3:I9,1,FALSE)), "FALSE", "TRUE")</f>
        <v>FALSE</v>
      </c>
      <c r="L347" s="101" t="s">
        <v>818</v>
      </c>
    </row>
    <row r="348" spans="1:12">
      <c r="A348" s="101" t="s">
        <v>819</v>
      </c>
      <c r="B348" s="103" t="s">
        <v>463</v>
      </c>
      <c r="C348" s="101" t="b">
        <f ca="1">OR(AND(ISNUMBER(SEARCH(B347,H2)),G2&gt;F2),(AND(ISNUMBER(SEARCH(B348,H2)),G2&lt;F2)))</f>
        <v>0</v>
      </c>
      <c r="E348" s="101" t="str">
        <f ca="1">IF(ISNA(VLOOKUP(B348,I3:I9,1,FALSE)), "FALSE", "TRUE")</f>
        <v>FALSE</v>
      </c>
      <c r="L348" s="101" t="s">
        <v>819</v>
      </c>
    </row>
    <row r="349" spans="1:12">
      <c r="A349" s="101" t="s">
        <v>820</v>
      </c>
      <c r="B349" s="103" t="s">
        <v>464</v>
      </c>
      <c r="C349" s="101" t="b">
        <f ca="1">OR(AND(ISNUMBER(SEARCH(B348,H2)),G2&gt;F2),(AND(ISNUMBER(SEARCH(B349,H2)),G2&lt;F2)))</f>
        <v>0</v>
      </c>
      <c r="E349" s="101" t="str">
        <f ca="1">IF(ISNA(VLOOKUP(B349,I3:I9,1,FALSE)), "FALSE", "TRUE")</f>
        <v>FALSE</v>
      </c>
      <c r="L349" s="101" t="s">
        <v>820</v>
      </c>
    </row>
    <row r="350" spans="1:12">
      <c r="A350" s="101" t="s">
        <v>821</v>
      </c>
      <c r="B350" s="103" t="s">
        <v>465</v>
      </c>
      <c r="C350" s="101" t="b">
        <f ca="1">OR(AND(ISNUMBER(SEARCH(B349,H2)),G2&gt;F2),(AND(ISNUMBER(SEARCH(B350,H2)),G2&lt;F2)))</f>
        <v>0</v>
      </c>
      <c r="E350" s="101" t="str">
        <f ca="1">IF(ISNA(VLOOKUP(B350,I3:I9,1,FALSE)), "FALSE", "TRUE")</f>
        <v>FALSE</v>
      </c>
      <c r="L350" s="101" t="s">
        <v>821</v>
      </c>
    </row>
    <row r="351" spans="1:12">
      <c r="A351" s="101" t="s">
        <v>822</v>
      </c>
      <c r="B351" s="103" t="s">
        <v>466</v>
      </c>
      <c r="C351" s="101" t="b">
        <f ca="1">OR(AND(ISNUMBER(SEARCH(B350,H2)),G2&gt;F2),(AND(ISNUMBER(SEARCH(B351,H2)),G2&lt;F2)))</f>
        <v>0</v>
      </c>
      <c r="E351" s="101" t="str">
        <f ca="1">IF(ISNA(VLOOKUP(B351,I3:I9,1,FALSE)), "FALSE", "TRUE")</f>
        <v>FALSE</v>
      </c>
      <c r="L351" s="101" t="s">
        <v>822</v>
      </c>
    </row>
    <row r="352" spans="1:12">
      <c r="A352" s="101" t="s">
        <v>823</v>
      </c>
      <c r="B352" s="103" t="s">
        <v>467</v>
      </c>
      <c r="C352" s="101" t="b">
        <f ca="1">OR(AND(ISNUMBER(SEARCH(B351,H2)),G2&gt;F2),(AND(ISNUMBER(SEARCH(B352,H2)),G2&lt;F2)))</f>
        <v>0</v>
      </c>
      <c r="E352" s="101" t="str">
        <f ca="1">IF(ISNA(VLOOKUP(B352,I3:I9,1,FALSE)), "FALSE", "TRUE")</f>
        <v>FALSE</v>
      </c>
      <c r="L352" s="101" t="s">
        <v>823</v>
      </c>
    </row>
    <row r="353" spans="1:12">
      <c r="A353" s="101" t="s">
        <v>824</v>
      </c>
      <c r="B353" s="103" t="s">
        <v>468</v>
      </c>
      <c r="C353" s="101" t="b">
        <f ca="1">OR(AND(ISNUMBER(SEARCH(B352,H2)),G2&gt;F2),(AND(ISNUMBER(SEARCH(B353,H2)),G2&lt;F2)))</f>
        <v>0</v>
      </c>
      <c r="E353" s="101" t="str">
        <f ca="1">IF(ISNA(VLOOKUP(B353,I3:I9,1,FALSE)), "FALSE", "TRUE")</f>
        <v>FALSE</v>
      </c>
      <c r="L353" s="101" t="s">
        <v>824</v>
      </c>
    </row>
    <row r="354" spans="1:12">
      <c r="A354" s="101" t="s">
        <v>825</v>
      </c>
      <c r="B354" s="103" t="s">
        <v>469</v>
      </c>
      <c r="C354" s="101" t="b">
        <f ca="1">OR(AND(ISNUMBER(SEARCH(B353,H2)),G2&gt;F2),(AND(ISNUMBER(SEARCH(B354,H2)),G2&lt;F2)))</f>
        <v>0</v>
      </c>
      <c r="E354" s="101" t="str">
        <f ca="1">IF(ISNA(VLOOKUP(B354,I3:I9,1,FALSE)), "FALSE", "TRUE")</f>
        <v>FALSE</v>
      </c>
      <c r="L354" s="101" t="s">
        <v>825</v>
      </c>
    </row>
    <row r="355" spans="1:12">
      <c r="A355" s="101" t="s">
        <v>826</v>
      </c>
      <c r="B355" s="103" t="s">
        <v>470</v>
      </c>
      <c r="C355" s="101" t="b">
        <f ca="1">OR(AND(ISNUMBER(SEARCH(B354,H2)),G2&gt;F2),(AND(ISNUMBER(SEARCH(B355,H2)),G2&lt;F2)))</f>
        <v>0</v>
      </c>
      <c r="E355" s="101" t="str">
        <f ca="1">IF(ISNA(VLOOKUP(B355,I3:I9,1,FALSE)), "FALSE", "TRUE")</f>
        <v>FALSE</v>
      </c>
      <c r="L355" s="101" t="s">
        <v>826</v>
      </c>
    </row>
    <row r="356" spans="1:12">
      <c r="A356" s="101" t="s">
        <v>827</v>
      </c>
      <c r="B356" s="103" t="s">
        <v>471</v>
      </c>
      <c r="C356" s="101" t="b">
        <f ca="1">OR(AND(ISNUMBER(SEARCH(B355,H2)),G2&gt;F2),(AND(ISNUMBER(SEARCH(B356,H2)),G2&lt;F2)))</f>
        <v>0</v>
      </c>
      <c r="E356" s="101" t="str">
        <f ca="1">IF(ISNA(VLOOKUP(B356,I3:I9,1,FALSE)), "FALSE", "TRUE")</f>
        <v>FALSE</v>
      </c>
      <c r="L356" s="101" t="s">
        <v>827</v>
      </c>
    </row>
    <row r="357" spans="1:12">
      <c r="A357" s="101" t="s">
        <v>828</v>
      </c>
      <c r="B357" s="103" t="s">
        <v>472</v>
      </c>
      <c r="C357" s="101" t="b">
        <f ca="1">OR(AND(ISNUMBER(SEARCH(B356,H2)),G2&gt;F2),(AND(ISNUMBER(SEARCH(B357,H2)),G2&lt;F2)))</f>
        <v>0</v>
      </c>
      <c r="E357" s="101" t="str">
        <f ca="1">IF(ISNA(VLOOKUP(B357,I3:I9,1,FALSE)), "FALSE", "TRUE")</f>
        <v>FALSE</v>
      </c>
      <c r="L357" s="101" t="s">
        <v>828</v>
      </c>
    </row>
    <row r="358" spans="1:12">
      <c r="A358" s="101" t="s">
        <v>829</v>
      </c>
      <c r="B358" s="103" t="s">
        <v>473</v>
      </c>
      <c r="C358" s="101" t="b">
        <f ca="1">OR(AND(ISNUMBER(SEARCH(B357,H2)),G2&gt;F2),(AND(ISNUMBER(SEARCH(B358,H2)),G2&lt;F2)))</f>
        <v>0</v>
      </c>
      <c r="E358" s="101" t="str">
        <f ca="1">IF(ISNA(VLOOKUP(B358,I3:I9,1,FALSE)), "FALSE", "TRUE")</f>
        <v>FALSE</v>
      </c>
      <c r="L358" s="101" t="s">
        <v>829</v>
      </c>
    </row>
    <row r="359" spans="1:12">
      <c r="A359" s="101" t="s">
        <v>830</v>
      </c>
      <c r="B359" s="103" t="s">
        <v>474</v>
      </c>
      <c r="C359" s="101" t="b">
        <f ca="1">OR(AND(ISNUMBER(SEARCH(B358,H2)),G2&gt;F2),(AND(ISNUMBER(SEARCH(B359,H2)),G2&lt;F2)))</f>
        <v>0</v>
      </c>
      <c r="E359" s="101" t="str">
        <f ca="1">IF(ISNA(VLOOKUP(B359,I3:I9,1,FALSE)), "FALSE", "TRUE")</f>
        <v>FALSE</v>
      </c>
      <c r="L359" s="101" t="s">
        <v>830</v>
      </c>
    </row>
    <row r="360" spans="1:12">
      <c r="A360" s="101" t="s">
        <v>831</v>
      </c>
      <c r="B360" s="103" t="s">
        <v>475</v>
      </c>
      <c r="C360" s="101" t="b">
        <f ca="1">OR(AND(ISNUMBER(SEARCH(B359,H2)),G2&gt;F2),(AND(ISNUMBER(SEARCH(B360,H2)),G2&lt;F2)))</f>
        <v>0</v>
      </c>
      <c r="E360" s="101" t="str">
        <f ca="1">IF(ISNA(VLOOKUP(B360,I3:I9,1,FALSE)), "FALSE", "TRUE")</f>
        <v>FALSE</v>
      </c>
      <c r="L360" s="101" t="s">
        <v>831</v>
      </c>
    </row>
    <row r="361" spans="1:12">
      <c r="A361" s="101" t="s">
        <v>832</v>
      </c>
      <c r="B361" s="103" t="s">
        <v>476</v>
      </c>
      <c r="C361" s="101" t="b">
        <f ca="1">OR(AND(ISNUMBER(SEARCH(B360,H2)),G2&gt;F2),(AND(ISNUMBER(SEARCH(B361,H2)),G2&lt;F2)))</f>
        <v>0</v>
      </c>
      <c r="E361" s="101" t="str">
        <f ca="1">IF(ISNA(VLOOKUP(B361,I3:I9,1,FALSE)), "FALSE", "TRUE")</f>
        <v>FALSE</v>
      </c>
      <c r="L361" s="101" t="s">
        <v>832</v>
      </c>
    </row>
    <row r="362" spans="1:12">
      <c r="A362" s="101" t="s">
        <v>833</v>
      </c>
      <c r="B362" s="103" t="s">
        <v>477</v>
      </c>
      <c r="C362" s="101" t="b">
        <f ca="1">OR(AND(ISNUMBER(SEARCH(B361,H2)),G2&gt;F2),(AND(ISNUMBER(SEARCH(B362,H2)),G2&lt;F2)))</f>
        <v>0</v>
      </c>
      <c r="E362" s="101" t="str">
        <f ca="1">IF(ISNA(VLOOKUP(B362,I3:I9,1,FALSE)), "FALSE", "TRUE")</f>
        <v>FALSE</v>
      </c>
      <c r="L362" s="101" t="s">
        <v>833</v>
      </c>
    </row>
    <row r="363" spans="1:12">
      <c r="A363" s="101" t="s">
        <v>834</v>
      </c>
      <c r="B363" s="103" t="s">
        <v>478</v>
      </c>
      <c r="C363" s="101" t="b">
        <f ca="1">OR(AND(ISNUMBER(SEARCH(B362,H2)),G2&gt;F2),(AND(ISNUMBER(SEARCH(B363,H2)),G2&lt;F2)))</f>
        <v>0</v>
      </c>
      <c r="E363" s="101" t="str">
        <f ca="1">IF(ISNA(VLOOKUP(B363,I3:I9,1,FALSE)), "FALSE", "TRUE")</f>
        <v>FALSE</v>
      </c>
      <c r="L363" s="101" t="s">
        <v>834</v>
      </c>
    </row>
    <row r="364" spans="1:12">
      <c r="A364" s="101" t="s">
        <v>835</v>
      </c>
      <c r="B364" s="103" t="s">
        <v>479</v>
      </c>
      <c r="C364" s="101" t="b">
        <f ca="1">OR(AND(ISNUMBER(SEARCH(B363,H2)),G2&gt;F2),(AND(ISNUMBER(SEARCH(B364,H2)),G2&lt;F2)))</f>
        <v>0</v>
      </c>
      <c r="E364" s="101" t="str">
        <f ca="1">IF(ISNA(VLOOKUP(B364,I3:I9,1,FALSE)), "FALSE", "TRUE")</f>
        <v>FALSE</v>
      </c>
      <c r="L364" s="101" t="s">
        <v>835</v>
      </c>
    </row>
    <row r="365" spans="1:12">
      <c r="A365" s="101" t="s">
        <v>836</v>
      </c>
      <c r="B365" s="103" t="s">
        <v>480</v>
      </c>
      <c r="C365" s="101" t="b">
        <f ca="1">OR(AND(ISNUMBER(SEARCH(B364,H2)),G2&gt;F2),(AND(ISNUMBER(SEARCH(B365,H2)),G2&lt;F2)))</f>
        <v>0</v>
      </c>
      <c r="E365" s="101" t="str">
        <f ca="1">IF(ISNA(VLOOKUP(B365,I3:I9,1,FALSE)), "FALSE", "TRUE")</f>
        <v>FALSE</v>
      </c>
      <c r="L365" s="101" t="s">
        <v>836</v>
      </c>
    </row>
    <row r="366" spans="1:12">
      <c r="A366" s="101" t="s">
        <v>837</v>
      </c>
      <c r="B366" s="103" t="s">
        <v>481</v>
      </c>
      <c r="C366" s="101" t="b">
        <f ca="1">OR(AND(ISNUMBER(SEARCH(B365,H2)),G2&gt;F2),(AND(ISNUMBER(SEARCH(B366,H2)),G2&lt;F2)))</f>
        <v>0</v>
      </c>
      <c r="E366" s="101" t="str">
        <f ca="1">IF(ISNA(VLOOKUP(B366,I3:I9,1,FALSE)), "FALSE", "TRUE")</f>
        <v>FALSE</v>
      </c>
      <c r="L366" s="101" t="s">
        <v>837</v>
      </c>
    </row>
    <row r="367" spans="1:12">
      <c r="A367" s="101" t="s">
        <v>838</v>
      </c>
      <c r="B367" s="103" t="s">
        <v>482</v>
      </c>
      <c r="C367" s="101" t="b">
        <f ca="1">OR(AND(ISNUMBER(SEARCH(B366,H2)),G2&gt;F2),(AND(ISNUMBER(SEARCH(B367,H2)),G2&lt;F2)))</f>
        <v>0</v>
      </c>
      <c r="E367" s="101" t="str">
        <f ca="1">IF(ISNA(VLOOKUP(B367,I3:I9,1,FALSE)), "FALSE", "TRUE")</f>
        <v>FALSE</v>
      </c>
      <c r="L367" s="101" t="s">
        <v>838</v>
      </c>
    </row>
    <row r="368" spans="1:12">
      <c r="A368" s="101" t="s">
        <v>839</v>
      </c>
      <c r="B368" s="103" t="s">
        <v>483</v>
      </c>
      <c r="C368" s="101" t="b">
        <f ca="1">OR(AND(ISNUMBER(SEARCH(B367,H2)),G2&gt;F2),(AND(ISNUMBER(SEARCH(B368,H2)),G2&lt;F2)))</f>
        <v>0</v>
      </c>
      <c r="E368" s="101" t="str">
        <f ca="1">IF(ISNA(VLOOKUP(B368,I3:I9,1,FALSE)), "FALSE", "TRUE")</f>
        <v>FALSE</v>
      </c>
      <c r="L368" s="101" t="s">
        <v>839</v>
      </c>
    </row>
    <row r="369" spans="1:12">
      <c r="A369" s="101" t="s">
        <v>840</v>
      </c>
      <c r="B369" s="103" t="s">
        <v>484</v>
      </c>
      <c r="C369" s="101" t="b">
        <f ca="1">OR(AND(ISNUMBER(SEARCH(B368,H2)),G2&gt;F2),(AND(ISNUMBER(SEARCH(B369,H2)),G2&lt;F2)))</f>
        <v>0</v>
      </c>
      <c r="D369" s="103" t="s">
        <v>941</v>
      </c>
      <c r="E369" s="101" t="str">
        <f ca="1">IF(ISNA(VLOOKUP(B369,I3:I9,1,FALSE)), "FALSE", "TRUE")</f>
        <v>FALSE</v>
      </c>
      <c r="J369" s="103" t="s">
        <v>929</v>
      </c>
      <c r="L369" s="101" t="s">
        <v>840</v>
      </c>
    </row>
    <row r="370" spans="1:12">
      <c r="A370" s="101" t="s">
        <v>841</v>
      </c>
      <c r="B370" s="103" t="s">
        <v>485</v>
      </c>
      <c r="C370" s="101" t="b">
        <f ca="1">OR(AND(ISNUMBER(SEARCH(B369,H2)),G2&gt;F2),(AND(ISNUMBER(SEARCH(B370,H2)),G2&lt;F2)))</f>
        <v>0</v>
      </c>
      <c r="D370" s="103" t="s">
        <v>941</v>
      </c>
      <c r="E370" s="101" t="str">
        <f ca="1">IF(ISNA(VLOOKUP(B370,I3:I9,1,FALSE)), "FALSE", "TRUE")</f>
        <v>FALSE</v>
      </c>
      <c r="J370" s="103" t="s">
        <v>928</v>
      </c>
      <c r="L370" s="101" t="s">
        <v>841</v>
      </c>
    </row>
    <row r="371" spans="1:12">
      <c r="A371" s="101" t="s">
        <v>842</v>
      </c>
      <c r="B371" s="103" t="s">
        <v>486</v>
      </c>
      <c r="C371" s="101" t="b">
        <f ca="1">OR(AND(ISNUMBER(SEARCH(B370,H2)),G2&gt;F2),(AND(ISNUMBER(SEARCH(B371,H2)),G2&lt;F2)))</f>
        <v>0</v>
      </c>
      <c r="E371" s="101" t="str">
        <f ca="1">IF(ISNA(VLOOKUP(B371,I3:I9,1,FALSE)), "FALSE", "TRUE")</f>
        <v>FALSE</v>
      </c>
      <c r="L371" s="101" t="s">
        <v>842</v>
      </c>
    </row>
    <row r="372" spans="1:12">
      <c r="A372" s="101" t="s">
        <v>843</v>
      </c>
      <c r="B372" s="103" t="s">
        <v>487</v>
      </c>
      <c r="C372" s="101" t="b">
        <f ca="1">OR(AND(ISNUMBER(SEARCH(B371,H2)),G2&gt;F2),(AND(ISNUMBER(SEARCH(B372,H2)),G2&lt;F2)))</f>
        <v>0</v>
      </c>
      <c r="E372" s="101" t="str">
        <f ca="1">IF(ISNA(VLOOKUP(B372,I3:I9,1,FALSE)), "FALSE", "TRUE")</f>
        <v>FALSE</v>
      </c>
      <c r="L372" s="101" t="s">
        <v>843</v>
      </c>
    </row>
    <row r="373" spans="1:12">
      <c r="A373" s="101" t="s">
        <v>844</v>
      </c>
      <c r="B373" s="103" t="s">
        <v>488</v>
      </c>
      <c r="C373" s="101" t="b">
        <f ca="1">OR(AND(ISNUMBER(SEARCH(B372,H2)),G2&gt;F2),(AND(ISNUMBER(SEARCH(B373,H2)),G2&lt;F2)))</f>
        <v>0</v>
      </c>
      <c r="E373" s="101" t="str">
        <f ca="1">IF(ISNA(VLOOKUP(B373,I3:I9,1,FALSE)), "FALSE", "TRUE")</f>
        <v>FALSE</v>
      </c>
      <c r="L373" s="101" t="s">
        <v>844</v>
      </c>
    </row>
    <row r="374" spans="1:12">
      <c r="A374" s="101" t="s">
        <v>845</v>
      </c>
      <c r="B374" s="103" t="s">
        <v>489</v>
      </c>
      <c r="C374" s="101" t="b">
        <f ca="1">OR(AND(ISNUMBER(SEARCH(B373,H2)),G2&gt;F2),(AND(ISNUMBER(SEARCH(B374,H2)),G2&lt;F2)))</f>
        <v>0</v>
      </c>
      <c r="E374" s="101" t="str">
        <f ca="1">IF(ISNA(VLOOKUP(B374,I3:I9,1,FALSE)), "FALSE", "TRUE")</f>
        <v>FALSE</v>
      </c>
      <c r="L374" s="101" t="s">
        <v>845</v>
      </c>
    </row>
    <row r="375" spans="1:12">
      <c r="A375" s="101" t="s">
        <v>846</v>
      </c>
      <c r="B375" s="103" t="s">
        <v>490</v>
      </c>
      <c r="C375" s="101" t="b">
        <f ca="1">OR(AND(ISNUMBER(SEARCH(B374,H2)),G2&gt;F2),(AND(ISNUMBER(SEARCH(B375,H2)),G2&lt;F2)))</f>
        <v>0</v>
      </c>
      <c r="E375" s="101" t="str">
        <f ca="1">IF(ISNA(VLOOKUP(B375,I3:I9,1,FALSE)), "FALSE", "TRUE")</f>
        <v>FALSE</v>
      </c>
      <c r="L375" s="101" t="s">
        <v>846</v>
      </c>
    </row>
    <row r="376" spans="1:12">
      <c r="A376" s="101" t="s">
        <v>847</v>
      </c>
      <c r="B376" s="103" t="s">
        <v>491</v>
      </c>
      <c r="C376" s="101" t="b">
        <f ca="1">OR(AND(ISNUMBER(SEARCH(B375,H2)),G2&gt;F2),(AND(ISNUMBER(SEARCH(B376,H2)),G2&lt;F2)))</f>
        <v>0</v>
      </c>
      <c r="D376" s="103" t="s">
        <v>942</v>
      </c>
      <c r="E376" s="101" t="str">
        <f ca="1">IF(ISNA(VLOOKUP(B376,I3:I9,1,FALSE)), "FALSE", "TRUE")</f>
        <v>FALSE</v>
      </c>
      <c r="J376" s="103" t="s">
        <v>927</v>
      </c>
      <c r="L376" s="101" t="s">
        <v>847</v>
      </c>
    </row>
    <row r="377" spans="1:12">
      <c r="A377" s="101" t="s">
        <v>848</v>
      </c>
      <c r="B377" s="103" t="s">
        <v>492</v>
      </c>
      <c r="C377" s="101" t="b">
        <f ca="1">OR(AND(ISNUMBER(SEARCH(B376,H2)),G2&gt;F2),(AND(ISNUMBER(SEARCH(B377,H2)),G2&lt;F2)))</f>
        <v>0</v>
      </c>
      <c r="E377" s="101" t="str">
        <f ca="1">IF(ISNA(VLOOKUP(B377,I3:I9,1,FALSE)), "FALSE", "TRUE")</f>
        <v>FALSE</v>
      </c>
      <c r="L377" s="101" t="s">
        <v>848</v>
      </c>
    </row>
    <row r="378" spans="1:12">
      <c r="A378" s="101" t="s">
        <v>849</v>
      </c>
      <c r="B378" s="103" t="s">
        <v>493</v>
      </c>
      <c r="C378" s="101" t="b">
        <f ca="1">OR(AND(ISNUMBER(SEARCH(B377,H2)),G2&gt;F2),(AND(ISNUMBER(SEARCH(B378,H2)),G2&lt;F2)))</f>
        <v>0</v>
      </c>
      <c r="E378" s="101" t="str">
        <f ca="1">IF(ISNA(VLOOKUP(B378,I3:I9,1,FALSE)), "FALSE", "TRUE")</f>
        <v>FALSE</v>
      </c>
      <c r="L378" s="101" t="s">
        <v>849</v>
      </c>
    </row>
    <row r="379" spans="1:12">
      <c r="A379" s="101" t="s">
        <v>850</v>
      </c>
      <c r="B379" s="103" t="s">
        <v>494</v>
      </c>
      <c r="C379" s="101" t="b">
        <f ca="1">OR(AND(ISNUMBER(SEARCH(B378,H2)),G2&gt;F2),(AND(ISNUMBER(SEARCH(B379,H2)),G2&lt;F2)))</f>
        <v>0</v>
      </c>
      <c r="E379" s="101" t="str">
        <f ca="1">IF(ISNA(VLOOKUP(B379,I3:I9,1,FALSE)), "FALSE", "TRUE")</f>
        <v>FALSE</v>
      </c>
      <c r="L379" s="101" t="s">
        <v>850</v>
      </c>
    </row>
    <row r="380" spans="1:12">
      <c r="A380" s="101" t="s">
        <v>851</v>
      </c>
      <c r="B380" s="103" t="s">
        <v>495</v>
      </c>
      <c r="C380" s="101" t="b">
        <f ca="1">OR(AND(ISNUMBER(SEARCH(B379,H2)),G2&gt;F2),(AND(ISNUMBER(SEARCH(B380,H2)),G2&lt;F2)))</f>
        <v>0</v>
      </c>
      <c r="E380" s="101" t="str">
        <f ca="1">IF(ISNA(VLOOKUP(B380,I3:I9,1,FALSE)), "FALSE", "TRUE")</f>
        <v>FALSE</v>
      </c>
      <c r="L380" s="101" t="s">
        <v>851</v>
      </c>
    </row>
    <row r="381" spans="1:12">
      <c r="A381" s="101" t="s">
        <v>852</v>
      </c>
      <c r="B381" s="103" t="s">
        <v>496</v>
      </c>
      <c r="C381" s="101" t="b">
        <f ca="1">OR(AND(ISNUMBER(SEARCH(B380,H2)),G2&gt;F2),(AND(ISNUMBER(SEARCH(B381,H2)),G2&lt;F2)))</f>
        <v>0</v>
      </c>
      <c r="E381" s="101" t="str">
        <f ca="1">IF(ISNA(VLOOKUP(B381,I3:I9,1,FALSE)), "FALSE", "TRUE")</f>
        <v>FALSE</v>
      </c>
      <c r="L381" s="101" t="s">
        <v>852</v>
      </c>
    </row>
    <row r="382" spans="1:12">
      <c r="A382" s="101" t="s">
        <v>853</v>
      </c>
      <c r="B382" s="103" t="s">
        <v>497</v>
      </c>
      <c r="C382" s="101" t="b">
        <f ca="1">OR(AND(ISNUMBER(SEARCH(B381,H2)),G2&gt;F2),(AND(ISNUMBER(SEARCH(B382,H2)),G2&lt;F2)))</f>
        <v>0</v>
      </c>
      <c r="E382" s="101" t="str">
        <f ca="1">IF(ISNA(VLOOKUP(B382,I3:I9,1,FALSE)), "FALSE", "TRUE")</f>
        <v>FALSE</v>
      </c>
      <c r="L382" s="101" t="s">
        <v>853</v>
      </c>
    </row>
    <row r="383" spans="1:12">
      <c r="A383" s="101" t="s">
        <v>854</v>
      </c>
      <c r="B383" s="103" t="s">
        <v>498</v>
      </c>
      <c r="C383" s="101" t="b">
        <f ca="1">OR(AND(ISNUMBER(SEARCH(B382,H2)),G2&gt;F2),(AND(ISNUMBER(SEARCH(B383,H2)),G2&lt;F2)))</f>
        <v>0</v>
      </c>
      <c r="E383" s="101" t="str">
        <f ca="1">IF(ISNA(VLOOKUP(B383,I3:I9,1,FALSE)), "FALSE", "TRUE")</f>
        <v>FALSE</v>
      </c>
      <c r="L383" s="101" t="s">
        <v>854</v>
      </c>
    </row>
    <row r="384" spans="1:12">
      <c r="A384" s="101" t="s">
        <v>855</v>
      </c>
      <c r="B384" s="103" t="s">
        <v>499</v>
      </c>
      <c r="C384" s="101" t="b">
        <f ca="1">OR(AND(ISNUMBER(SEARCH(B383,H2)),G2&gt;F2),(AND(ISNUMBER(SEARCH(B384,H2)),G2&lt;F2)))</f>
        <v>0</v>
      </c>
      <c r="E384" s="101" t="str">
        <f ca="1">IF(ISNA(VLOOKUP(B384,I3:I9,1,FALSE)), "FALSE", "TRUE")</f>
        <v>FALSE</v>
      </c>
      <c r="L384" s="101" t="s">
        <v>855</v>
      </c>
    </row>
    <row r="385" spans="1:12">
      <c r="A385" s="101" t="s">
        <v>856</v>
      </c>
      <c r="B385" s="103" t="s">
        <v>500</v>
      </c>
      <c r="C385" s="101" t="b">
        <f ca="1">OR(AND(ISNUMBER(SEARCH(B384,H2)),G2&gt;F2),(AND(ISNUMBER(SEARCH(B385,H2)),G2&lt;F2)))</f>
        <v>0</v>
      </c>
      <c r="E385" s="101" t="str">
        <f ca="1">IF(ISNA(VLOOKUP(B385,I3:I9,1,FALSE)), "FALSE", "TRUE")</f>
        <v>FALSE</v>
      </c>
      <c r="L385" s="101" t="s">
        <v>856</v>
      </c>
    </row>
    <row r="386" spans="1:12">
      <c r="A386" s="101" t="s">
        <v>857</v>
      </c>
      <c r="B386" s="103" t="s">
        <v>501</v>
      </c>
      <c r="C386" s="101" t="b">
        <f ca="1">OR(AND(ISNUMBER(SEARCH(B385,H2)),G2&gt;F2),(AND(ISNUMBER(SEARCH(B386,H2)),G2&lt;F2)))</f>
        <v>0</v>
      </c>
      <c r="E386" s="101" t="str">
        <f ca="1">IF(ISNA(VLOOKUP(B386,I3:I9,1,FALSE)), "FALSE", "TRUE")</f>
        <v>FALSE</v>
      </c>
      <c r="L386" s="101" t="s">
        <v>857</v>
      </c>
    </row>
    <row r="387" spans="1:12">
      <c r="A387" s="101" t="s">
        <v>858</v>
      </c>
      <c r="B387" s="103" t="s">
        <v>502</v>
      </c>
      <c r="C387" s="101" t="b">
        <f ca="1">OR(AND(ISNUMBER(SEARCH(B386,H2)),G2&gt;F2),(AND(ISNUMBER(SEARCH(B387,H2)),G2&lt;F2)))</f>
        <v>0</v>
      </c>
      <c r="E387" s="101" t="str">
        <f ca="1">IF(ISNA(VLOOKUP(B387,I3:I9,1,FALSE)), "FALSE", "TRUE")</f>
        <v>FALSE</v>
      </c>
      <c r="L387" s="101" t="s">
        <v>858</v>
      </c>
    </row>
    <row r="388" spans="1:12">
      <c r="A388" s="101" t="s">
        <v>859</v>
      </c>
      <c r="B388" s="103" t="s">
        <v>503</v>
      </c>
      <c r="C388" s="101" t="b">
        <f ca="1">OR(AND(ISNUMBER(SEARCH(B387,H2)),G2&gt;F2),(AND(ISNUMBER(SEARCH(B388,H2)),G2&lt;F2)))</f>
        <v>0</v>
      </c>
      <c r="E388" s="101" t="str">
        <f ca="1">IF(ISNA(VLOOKUP(B388,I3:I9,1,FALSE)), "FALSE", "TRUE")</f>
        <v>FALSE</v>
      </c>
      <c r="L388" s="101" t="s">
        <v>859</v>
      </c>
    </row>
    <row r="389" spans="1:12">
      <c r="A389" s="101" t="s">
        <v>860</v>
      </c>
      <c r="B389" s="103" t="s">
        <v>504</v>
      </c>
      <c r="C389" s="101" t="b">
        <f ca="1">OR(AND(ISNUMBER(SEARCH(B388,H2)),G2&gt;F2),(AND(ISNUMBER(SEARCH(B389,H2)),G2&lt;F2)))</f>
        <v>0</v>
      </c>
      <c r="E389" s="101" t="str">
        <f ca="1">IF(ISNA(VLOOKUP(B389,I3:I9,1,FALSE)), "FALSE", "TRUE")</f>
        <v>FALSE</v>
      </c>
      <c r="L389" s="101" t="s">
        <v>860</v>
      </c>
    </row>
    <row r="390" spans="1:12">
      <c r="A390" s="101" t="s">
        <v>861</v>
      </c>
      <c r="B390" s="103" t="s">
        <v>505</v>
      </c>
      <c r="C390" s="101" t="b">
        <f ca="1">OR(AND(ISNUMBER(SEARCH(B389,H2)),G2&gt;F2),(AND(ISNUMBER(SEARCH(B390,H2)),G2&lt;F2)))</f>
        <v>0</v>
      </c>
      <c r="E390" s="101" t="str">
        <f ca="1">IF(ISNA(VLOOKUP(B390,I3:I9,1,FALSE)), "FALSE", "TRUE")</f>
        <v>FALSE</v>
      </c>
      <c r="L390" s="101" t="s">
        <v>861</v>
      </c>
    </row>
    <row r="391" spans="1:12">
      <c r="A391" s="101" t="s">
        <v>862</v>
      </c>
      <c r="B391" s="103" t="s">
        <v>506</v>
      </c>
      <c r="C391" s="101" t="b">
        <f ca="1">OR(AND(ISNUMBER(SEARCH(B390,H2)),G2&gt;F2),(AND(ISNUMBER(SEARCH(B391,H2)),G2&lt;F2)))</f>
        <v>0</v>
      </c>
      <c r="E391" s="101" t="str">
        <f ca="1">IF(ISNA(VLOOKUP(B391,I3:I9,1,FALSE)), "FALSE", "TRUE")</f>
        <v>FALSE</v>
      </c>
      <c r="L391" s="101" t="s">
        <v>862</v>
      </c>
    </row>
    <row r="392" spans="1:12">
      <c r="A392" s="101" t="s">
        <v>863</v>
      </c>
      <c r="B392" s="103" t="s">
        <v>507</v>
      </c>
      <c r="C392" s="101" t="b">
        <f ca="1">OR(AND(ISNUMBER(SEARCH(B391,H2)),G2&gt;F2),(AND(ISNUMBER(SEARCH(B392,H2)),G2&lt;F2)))</f>
        <v>0</v>
      </c>
      <c r="E392" s="101" t="str">
        <f ca="1">IF(ISNA(VLOOKUP(B392,I3:I9,1,FALSE)), "FALSE", "TRUE")</f>
        <v>FALSE</v>
      </c>
      <c r="L392" s="101" t="s">
        <v>863</v>
      </c>
    </row>
    <row r="393" spans="1:12">
      <c r="A393" s="101" t="s">
        <v>864</v>
      </c>
      <c r="B393" s="103" t="s">
        <v>508</v>
      </c>
      <c r="C393" s="101" t="b">
        <f ca="1">OR(AND(ISNUMBER(SEARCH(B392,H2)),G2&gt;F2),(AND(ISNUMBER(SEARCH(B393,H2)),G2&lt;F2)))</f>
        <v>0</v>
      </c>
      <c r="E393" s="101" t="str">
        <f ca="1">IF(ISNA(VLOOKUP(B393,I3:I9,1,FALSE)), "FALSE", "TRUE")</f>
        <v>FALSE</v>
      </c>
      <c r="L393" s="101" t="s">
        <v>864</v>
      </c>
    </row>
    <row r="394" spans="1:12">
      <c r="A394" s="101" t="s">
        <v>865</v>
      </c>
      <c r="B394" s="103" t="s">
        <v>509</v>
      </c>
      <c r="C394" s="101" t="b">
        <f ca="1">OR(AND(ISNUMBER(SEARCH(B393,H2)),G2&gt;F2),(AND(ISNUMBER(SEARCH(B394,H2)),G2&lt;F2)))</f>
        <v>0</v>
      </c>
      <c r="E394" s="101" t="str">
        <f ca="1">IF(ISNA(VLOOKUP(B394,I3:I9,1,FALSE)), "FALSE", "TRUE")</f>
        <v>FALSE</v>
      </c>
      <c r="L394" s="101" t="s">
        <v>865</v>
      </c>
    </row>
    <row r="395" spans="1:12">
      <c r="A395" s="101" t="s">
        <v>866</v>
      </c>
      <c r="B395" s="103" t="s">
        <v>510</v>
      </c>
      <c r="C395" s="101" t="b">
        <f ca="1">OR(AND(ISNUMBER(SEARCH(B394,H2)),G2&gt;F2),(AND(ISNUMBER(SEARCH(B395,H2)),G2&lt;F2)))</f>
        <v>0</v>
      </c>
      <c r="E395" s="101" t="str">
        <f ca="1">IF(ISNA(VLOOKUP(B395,I3:I9,1,FALSE)), "FALSE", "TRUE")</f>
        <v>FALSE</v>
      </c>
      <c r="L395" s="101" t="s">
        <v>866</v>
      </c>
    </row>
    <row r="396" spans="1:12">
      <c r="A396" s="101" t="s">
        <v>867</v>
      </c>
      <c r="B396" s="103" t="s">
        <v>511</v>
      </c>
      <c r="C396" s="101" t="b">
        <f ca="1">OR(AND(ISNUMBER(SEARCH(B395,H2)),G2&gt;F2),(AND(ISNUMBER(SEARCH(B396,H2)),G2&lt;F2)))</f>
        <v>0</v>
      </c>
      <c r="E396" s="101" t="str">
        <f ca="1">IF(ISNA(VLOOKUP(B396,I3:I9,1,FALSE)), "FALSE", "TRUE")</f>
        <v>FALSE</v>
      </c>
      <c r="L396" s="101" t="s">
        <v>867</v>
      </c>
    </row>
    <row r="397" spans="1:12">
      <c r="A397" s="101" t="s">
        <v>868</v>
      </c>
      <c r="B397" s="103" t="s">
        <v>512</v>
      </c>
      <c r="C397" s="101" t="b">
        <f ca="1">OR(AND(ISNUMBER(SEARCH(B396,H2)),G2&gt;F2),(AND(ISNUMBER(SEARCH(B397,H2)),G2&lt;F2)))</f>
        <v>0</v>
      </c>
      <c r="E397" s="101" t="str">
        <f ca="1">IF(ISNA(VLOOKUP(B397,I3:I9,1,FALSE)), "FALSE", "TRUE")</f>
        <v>FALSE</v>
      </c>
      <c r="L397" s="101" t="s">
        <v>868</v>
      </c>
    </row>
    <row r="398" spans="1:12">
      <c r="A398" s="101" t="s">
        <v>869</v>
      </c>
      <c r="B398" s="103" t="s">
        <v>513</v>
      </c>
      <c r="C398" s="101" t="b">
        <f ca="1">OR(AND(ISNUMBER(SEARCH(B397,H2)),G2&gt;F2),(AND(ISNUMBER(SEARCH(B398,H2)),G2&lt;F2)))</f>
        <v>0</v>
      </c>
      <c r="E398" s="101" t="str">
        <f ca="1">IF(ISNA(VLOOKUP(B398,I3:I9,1,FALSE)), "FALSE", "TRUE")</f>
        <v>FALSE</v>
      </c>
      <c r="L398" s="101" t="s">
        <v>869</v>
      </c>
    </row>
    <row r="399" spans="1:12">
      <c r="A399" s="101" t="s">
        <v>870</v>
      </c>
      <c r="B399" s="103" t="s">
        <v>514</v>
      </c>
      <c r="C399" s="101" t="b">
        <f ca="1">OR(AND(ISNUMBER(SEARCH(B398,H2)),G2&gt;F2),(AND(ISNUMBER(SEARCH(B399,H2)),G2&lt;F2)))</f>
        <v>0</v>
      </c>
      <c r="E399" s="101" t="str">
        <f ca="1">IF(ISNA(VLOOKUP(B399,I3:I9,1,FALSE)), "FALSE", "TRUE")</f>
        <v>FALSE</v>
      </c>
      <c r="L399" s="101" t="s">
        <v>870</v>
      </c>
    </row>
    <row r="400" spans="1:12">
      <c r="A400" s="101" t="s">
        <v>871</v>
      </c>
      <c r="B400" s="103" t="s">
        <v>515</v>
      </c>
      <c r="C400" s="101" t="b">
        <f ca="1">OR(AND(ISNUMBER(SEARCH(B399,H2)),G2&gt;F2),(AND(ISNUMBER(SEARCH(B400,H2)),G2&lt;F2)))</f>
        <v>0</v>
      </c>
      <c r="E400" s="101" t="str">
        <f ca="1">IF(ISNA(VLOOKUP(B400,I3:I9,1,FALSE)), "FALSE", "TRUE")</f>
        <v>FALSE</v>
      </c>
      <c r="L400" s="101" t="s">
        <v>871</v>
      </c>
    </row>
    <row r="401" spans="1:12">
      <c r="A401" s="101" t="s">
        <v>872</v>
      </c>
      <c r="B401" s="103" t="s">
        <v>516</v>
      </c>
      <c r="C401" s="101" t="b">
        <f ca="1">OR(AND(ISNUMBER(SEARCH(B400,H2)),G2&gt;F2),(AND(ISNUMBER(SEARCH(B401,H2)),G2&lt;F2)))</f>
        <v>0</v>
      </c>
      <c r="E401" s="101" t="str">
        <f ca="1">IF(ISNA(VLOOKUP(B401,I3:I9,1,FALSE)), "FALSE", "TRUE")</f>
        <v>FALSE</v>
      </c>
      <c r="L401" s="101" t="s">
        <v>872</v>
      </c>
    </row>
    <row r="402" spans="1:12">
      <c r="A402" s="101" t="s">
        <v>873</v>
      </c>
      <c r="B402" s="103" t="s">
        <v>517</v>
      </c>
      <c r="C402" s="101" t="b">
        <f ca="1">OR(AND(ISNUMBER(SEARCH(B401,H2)),G2&gt;F2),(AND(ISNUMBER(SEARCH(B402,H2)),G2&lt;F2)))</f>
        <v>0</v>
      </c>
      <c r="E402" s="101" t="str">
        <f ca="1">IF(ISNA(VLOOKUP(B402,I3:I9,1,FALSE)), "FALSE", "TRUE")</f>
        <v>FALSE</v>
      </c>
      <c r="L402" s="101" t="s">
        <v>873</v>
      </c>
    </row>
    <row r="403" spans="1:12">
      <c r="A403" s="101" t="s">
        <v>874</v>
      </c>
      <c r="B403" s="103" t="s">
        <v>518</v>
      </c>
      <c r="C403" s="101" t="b">
        <f ca="1">OR(AND(ISNUMBER(SEARCH(B402,H2)),G2&gt;F2),(AND(ISNUMBER(SEARCH(B403,H2)),G2&lt;F2)))</f>
        <v>0</v>
      </c>
      <c r="E403" s="101" t="str">
        <f ca="1">IF(ISNA(VLOOKUP(B403,I3:I9,1,FALSE)), "FALSE", "TRUE")</f>
        <v>FALSE</v>
      </c>
      <c r="L403" s="101" t="s">
        <v>874</v>
      </c>
    </row>
    <row r="404" spans="1:12">
      <c r="A404" s="101" t="s">
        <v>875</v>
      </c>
      <c r="B404" s="103" t="s">
        <v>519</v>
      </c>
      <c r="C404" s="101" t="b">
        <f ca="1">OR(AND(ISNUMBER(SEARCH(B403,H2)),G2&gt;F2),(AND(ISNUMBER(SEARCH(B404,H2)),G2&lt;F2)))</f>
        <v>0</v>
      </c>
      <c r="E404" s="101" t="str">
        <f ca="1">IF(ISNA(VLOOKUP(B404,I3:I9,1,FALSE)), "FALSE", "TRUE")</f>
        <v>FALSE</v>
      </c>
      <c r="L404" s="101" t="s">
        <v>875</v>
      </c>
    </row>
    <row r="405" spans="1:12">
      <c r="A405" s="101" t="s">
        <v>876</v>
      </c>
      <c r="B405" s="103" t="s">
        <v>520</v>
      </c>
      <c r="C405" s="101" t="b">
        <f ca="1">OR(AND(ISNUMBER(SEARCH(B404,H2)),G2&gt;F2),(AND(ISNUMBER(SEARCH(B405,H2)),G2&lt;F2)))</f>
        <v>0</v>
      </c>
      <c r="E405" s="101" t="str">
        <f ca="1">IF(ISNA(VLOOKUP(B405,I3:I9,1,FALSE)), "FALSE", "TRUE")</f>
        <v>FALSE</v>
      </c>
      <c r="L405" s="101" t="s">
        <v>876</v>
      </c>
    </row>
    <row r="406" spans="1:12">
      <c r="A406" s="101" t="s">
        <v>877</v>
      </c>
      <c r="B406" s="103" t="s">
        <v>521</v>
      </c>
      <c r="C406" s="101" t="b">
        <f ca="1">OR(AND(ISNUMBER(SEARCH(B405,H2)),G2&gt;F2),(AND(ISNUMBER(SEARCH(B406,H2)),G2&lt;F2)))</f>
        <v>0</v>
      </c>
      <c r="E406" s="101" t="str">
        <f ca="1">IF(ISNA(VLOOKUP(B406,I3:I9,1,FALSE)), "FALSE", "TRUE")</f>
        <v>FALSE</v>
      </c>
      <c r="L406" s="101" t="s">
        <v>877</v>
      </c>
    </row>
    <row r="407" spans="1:12">
      <c r="A407" s="101" t="s">
        <v>878</v>
      </c>
      <c r="B407" s="103" t="s">
        <v>522</v>
      </c>
      <c r="C407" s="101" t="b">
        <f ca="1">OR(AND(ISNUMBER(SEARCH(B406,H2)),G2&gt;F2),(AND(ISNUMBER(SEARCH(B407,H2)),G2&lt;F2)))</f>
        <v>0</v>
      </c>
      <c r="E407" s="101" t="str">
        <f ca="1">IF(ISNA(VLOOKUP(B407,I3:I9,1,FALSE)), "FALSE", "TRUE")</f>
        <v>FALSE</v>
      </c>
      <c r="L407" s="101" t="s">
        <v>878</v>
      </c>
    </row>
    <row r="408" spans="1:12">
      <c r="A408" s="101" t="s">
        <v>879</v>
      </c>
      <c r="B408" s="103" t="s">
        <v>523</v>
      </c>
      <c r="C408" s="101" t="b">
        <f ca="1">OR(AND(ISNUMBER(SEARCH(B407,H2)),G2&gt;F2),(AND(ISNUMBER(SEARCH(B408,H2)),G2&lt;F2)))</f>
        <v>0</v>
      </c>
      <c r="E408" s="101" t="str">
        <f ca="1">IF(ISNA(VLOOKUP(B408,I3:I9,1,FALSE)), "FALSE", "TRUE")</f>
        <v>FALSE</v>
      </c>
      <c r="L408" s="101" t="s">
        <v>879</v>
      </c>
    </row>
    <row r="409" spans="1:12">
      <c r="A409" s="101" t="s">
        <v>880</v>
      </c>
      <c r="B409" s="103" t="s">
        <v>524</v>
      </c>
      <c r="C409" s="101" t="b">
        <f ca="1">OR(AND(ISNUMBER(SEARCH(B408,H2)),G2&gt;F2),(AND(ISNUMBER(SEARCH(B409,H2)),G2&lt;F2)))</f>
        <v>0</v>
      </c>
      <c r="E409" s="101" t="str">
        <f ca="1">IF(ISNA(VLOOKUP(B409,I3:I9,1,FALSE)), "FALSE", "TRUE")</f>
        <v>FALSE</v>
      </c>
      <c r="L409" s="101" t="s">
        <v>880</v>
      </c>
    </row>
    <row r="410" spans="1:12">
      <c r="A410" s="101" t="s">
        <v>881</v>
      </c>
      <c r="B410" s="103" t="s">
        <v>525</v>
      </c>
      <c r="C410" s="101" t="b">
        <f ca="1">OR(AND(ISNUMBER(SEARCH(B409,H2)),G2&gt;F2),(AND(ISNUMBER(SEARCH(B410,H2)),G2&lt;F2)))</f>
        <v>0</v>
      </c>
      <c r="E410" s="101" t="str">
        <f ca="1">IF(ISNA(VLOOKUP(B410,I3:I9,1,FALSE)), "FALSE", "TRUE")</f>
        <v>FALSE</v>
      </c>
      <c r="L410" s="101" t="s">
        <v>881</v>
      </c>
    </row>
    <row r="411" spans="1:12">
      <c r="A411" s="101" t="s">
        <v>882</v>
      </c>
      <c r="B411" s="103" t="s">
        <v>526</v>
      </c>
      <c r="C411" s="101" t="b">
        <f ca="1">OR(AND(ISNUMBER(SEARCH(B410,H2)),G2&gt;F2),(AND(ISNUMBER(SEARCH(B411,H2)),G2&lt;F2)))</f>
        <v>0</v>
      </c>
      <c r="E411" s="101" t="str">
        <f ca="1">IF(ISNA(VLOOKUP(B411,I3:I9,1,FALSE)), "FALSE", "TRUE")</f>
        <v>FALSE</v>
      </c>
      <c r="L411" s="101" t="s">
        <v>882</v>
      </c>
    </row>
    <row r="412" spans="1:12">
      <c r="A412" s="101" t="s">
        <v>883</v>
      </c>
      <c r="B412" s="103" t="s">
        <v>527</v>
      </c>
      <c r="C412" s="101" t="b">
        <f ca="1">OR(AND(ISNUMBER(SEARCH(B411,H2)),G2&gt;F2),(AND(ISNUMBER(SEARCH(B412,H2)),G2&lt;F2)))</f>
        <v>0</v>
      </c>
      <c r="E412" s="101" t="str">
        <f ca="1">IF(ISNA(VLOOKUP(B412,I3:I9,1,FALSE)), "FALSE", "TRUE")</f>
        <v>FALSE</v>
      </c>
      <c r="L412" s="101" t="s">
        <v>883</v>
      </c>
    </row>
    <row r="413" spans="1:12">
      <c r="A413" s="101" t="s">
        <v>884</v>
      </c>
      <c r="B413" s="103" t="s">
        <v>528</v>
      </c>
      <c r="C413" s="101" t="b">
        <f ca="1">OR(AND(ISNUMBER(SEARCH(B412,H2)),G2&gt;F2),(AND(ISNUMBER(SEARCH(B413,H2)),G2&lt;F2)))</f>
        <v>0</v>
      </c>
      <c r="E413" s="101" t="str">
        <f ca="1">IF(ISNA(VLOOKUP(B413,I3:I9,1,FALSE)), "FALSE", "TRUE")</f>
        <v>FALSE</v>
      </c>
      <c r="L413" s="101" t="s">
        <v>884</v>
      </c>
    </row>
    <row r="414" spans="1:12">
      <c r="A414" s="101" t="s">
        <v>885</v>
      </c>
      <c r="B414" s="103" t="s">
        <v>529</v>
      </c>
      <c r="C414" s="101" t="b">
        <f ca="1">OR(AND(ISNUMBER(SEARCH(B413,H2)),G2&gt;F2),(AND(ISNUMBER(SEARCH(B414,H2)),G2&lt;F2)))</f>
        <v>0</v>
      </c>
      <c r="E414" s="101" t="str">
        <f ca="1">IF(ISNA(VLOOKUP(B414,I3:I9,1,FALSE)), "FALSE", "TRUE")</f>
        <v>FALSE</v>
      </c>
      <c r="L414" s="101" t="s">
        <v>885</v>
      </c>
    </row>
    <row r="415" spans="1:12">
      <c r="A415" s="101" t="s">
        <v>886</v>
      </c>
      <c r="B415" s="103" t="s">
        <v>530</v>
      </c>
      <c r="C415" s="101" t="b">
        <f ca="1">OR(AND(ISNUMBER(SEARCH(B414,H2)),G2&gt;F2),(AND(ISNUMBER(SEARCH(B415,H2)),G2&lt;F2)))</f>
        <v>0</v>
      </c>
      <c r="E415" s="101" t="str">
        <f ca="1">IF(ISNA(VLOOKUP(B415,I3:I9,1,FALSE)), "FALSE", "TRUE")</f>
        <v>FALSE</v>
      </c>
      <c r="L415" s="101" t="s">
        <v>886</v>
      </c>
    </row>
    <row r="416" spans="1:12">
      <c r="A416" s="101" t="s">
        <v>887</v>
      </c>
      <c r="B416" s="103" t="s">
        <v>531</v>
      </c>
      <c r="C416" s="101" t="b">
        <f ca="1">OR(AND(ISNUMBER(SEARCH(B415,H2)),G2&gt;F2),(AND(ISNUMBER(SEARCH(B416,H2)),G2&lt;F2)))</f>
        <v>0</v>
      </c>
      <c r="E416" s="101" t="str">
        <f ca="1">IF(ISNA(VLOOKUP(B416,I3:I9,1,FALSE)), "FALSE", "TRUE")</f>
        <v>FALSE</v>
      </c>
      <c r="L416" s="101" t="s">
        <v>887</v>
      </c>
    </row>
    <row r="417" spans="1:12">
      <c r="A417" s="101" t="s">
        <v>888</v>
      </c>
      <c r="B417" s="103" t="s">
        <v>532</v>
      </c>
      <c r="C417" s="101" t="b">
        <f ca="1">OR(AND(ISNUMBER(SEARCH(B416,H2)),G2&gt;F2),(AND(ISNUMBER(SEARCH(B417,H2)),G2&lt;F2)))</f>
        <v>0</v>
      </c>
      <c r="E417" s="101" t="str">
        <f ca="1">IF(ISNA(VLOOKUP(B417,I3:I9,1,FALSE)), "FALSE", "TRUE")</f>
        <v>FALSE</v>
      </c>
      <c r="L417" s="101" t="s">
        <v>888</v>
      </c>
    </row>
    <row r="418" spans="1:12">
      <c r="A418" s="101" t="s">
        <v>889</v>
      </c>
      <c r="B418" s="103" t="s">
        <v>533</v>
      </c>
      <c r="C418" s="101" t="b">
        <f ca="1">OR(AND(ISNUMBER(SEARCH(B417,H2)),G2&gt;F2),(AND(ISNUMBER(SEARCH(B418,H2)),G2&lt;F2)))</f>
        <v>0</v>
      </c>
      <c r="E418" s="101" t="str">
        <f ca="1">IF(ISNA(VLOOKUP(B418,I3:I9,1,FALSE)), "FALSE", "TRUE")</f>
        <v>FALSE</v>
      </c>
      <c r="L418" s="101" t="s">
        <v>889</v>
      </c>
    </row>
    <row r="419" spans="1:12">
      <c r="A419" s="101" t="s">
        <v>890</v>
      </c>
      <c r="B419" s="103" t="s">
        <v>534</v>
      </c>
      <c r="C419" s="101" t="b">
        <f ca="1">OR(AND(ISNUMBER(SEARCH(B418,H2)),G2&gt;F2),(AND(ISNUMBER(SEARCH(B419,H2)),G2&lt;F2)))</f>
        <v>0</v>
      </c>
      <c r="E419" s="101" t="str">
        <f ca="1">IF(ISNA(VLOOKUP(B419,I3:I9,1,FALSE)), "FALSE", "TRUE")</f>
        <v>FALSE</v>
      </c>
      <c r="L419" s="101" t="s">
        <v>890</v>
      </c>
    </row>
    <row r="420" spans="1:12">
      <c r="A420" s="101" t="s">
        <v>891</v>
      </c>
      <c r="B420" s="103" t="s">
        <v>535</v>
      </c>
      <c r="C420" s="101" t="b">
        <f ca="1">OR(AND(ISNUMBER(SEARCH(B419,H2)),G2&gt;F2),(AND(ISNUMBER(SEARCH(B420,H2)),G2&lt;F2)))</f>
        <v>0</v>
      </c>
      <c r="E420" s="101" t="str">
        <f ca="1">IF(ISNA(VLOOKUP(B420,I3:I9,1,FALSE)), "FALSE", "TRUE")</f>
        <v>FALSE</v>
      </c>
      <c r="L420" s="101" t="s">
        <v>891</v>
      </c>
    </row>
    <row r="421" spans="1:12">
      <c r="A421" s="101" t="s">
        <v>892</v>
      </c>
      <c r="B421" s="103" t="s">
        <v>536</v>
      </c>
      <c r="C421" s="101" t="b">
        <f ca="1">OR(AND(ISNUMBER(SEARCH(B420,H2)),G2&gt;F2),(AND(ISNUMBER(SEARCH(B421,H2)),G2&lt;F2)))</f>
        <v>0</v>
      </c>
      <c r="E421" s="101" t="str">
        <f ca="1">IF(ISNA(VLOOKUP(B421,I3:I9,1,FALSE)), "FALSE", "TRUE")</f>
        <v>FALSE</v>
      </c>
      <c r="L421" s="101" t="s">
        <v>892</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X237"/>
  <sheetViews>
    <sheetView rightToLeft="1" topLeftCell="B1" workbookViewId="0">
      <selection activeCell="G2" sqref="G2"/>
    </sheetView>
  </sheetViews>
  <sheetFormatPr defaultRowHeight="14.25"/>
  <cols>
    <col min="3" max="3" width="11.25" customWidth="1"/>
    <col min="4" max="4" width="10.25" customWidth="1"/>
    <col min="8" max="8" width="10.625" customWidth="1"/>
    <col min="12" max="12" width="13.125" customWidth="1"/>
    <col min="13" max="13" width="13.125" style="101" customWidth="1"/>
    <col min="14" max="14" width="9" customWidth="1"/>
    <col min="15" max="15" width="30.5" customWidth="1"/>
    <col min="18" max="18" width="9" style="101"/>
  </cols>
  <sheetData>
    <row r="1" spans="1:24">
      <c r="A1" s="103" t="s">
        <v>1086</v>
      </c>
      <c r="D1" s="102"/>
      <c r="Q1" t="s">
        <v>1107</v>
      </c>
    </row>
    <row r="2" spans="1:24" s="126" customFormat="1" ht="15">
      <c r="A2" s="124" t="str">
        <f ca="1">IF(ISNA(VLOOKUP(Holidays!H2,A4:A34,1,FALSE)), "FALSE", A3)</f>
        <v>FALSE</v>
      </c>
      <c r="B2" s="124" t="str">
        <f ca="1">IF(ISNA(VLOOKUP(Holidays!H2,B4:B23,1,FALSE)), "FALSE", B3)</f>
        <v>FALSE</v>
      </c>
      <c r="C2" s="124" t="str">
        <f ca="1">IF(ISNA(VLOOKUP(Holidays!H2,C4:C59,1,FALSE)), "FALSE", C3)</f>
        <v>FALSE</v>
      </c>
      <c r="D2" s="124" t="str">
        <f ca="1">IF(ISNA(VLOOKUP(Holidays!H2,D4:D237,1,FALSE)), "FALSE", D3)</f>
        <v>FALSE</v>
      </c>
      <c r="E2" s="124" t="str">
        <f ca="1">IF(ISNA(VLOOKUP(Holidays!H2,E4:E191,1,FALSE)), "FALSE", E3)</f>
        <v>מוריד הטל</v>
      </c>
      <c r="F2" s="124" t="str">
        <f ca="1">IF(ISNA(VLOOKUP(Holidays!H2,F4:F222,1,FALSE)), "FALSE", F3)</f>
        <v>FALSE</v>
      </c>
      <c r="G2" s="124" t="str">
        <f ca="1">IF(ISNA(VLOOKUP(Holidays!H2,G4:G204,1,FALSE)), "FALSE", G3)</f>
        <v>ברכנו</v>
      </c>
      <c r="H2" s="124" t="str">
        <f ca="1">IF(ISNA(VLOOKUP(FALSE,H4:H7,1,FALSE)),H3,"FALSE")</f>
        <v>FALSE</v>
      </c>
      <c r="I2" s="124" t="str">
        <f ca="1">IF(ISNA(VLOOKUP(Holidays!H2,I4:I13,1,FALSE)), "FALSE", I3)</f>
        <v>FALSE</v>
      </c>
      <c r="J2" s="124" t="str">
        <f ca="1">IF(ISNA(VLOOKUP(Holidays!H2,J4:J78,1,FALSE)), "FALSE", J3)</f>
        <v>FALSE</v>
      </c>
      <c r="K2" s="124" t="str">
        <f ca="1">IF(ISNA(VLOOKUP(Holidays!H2,K4:K34,1,FALSE)), "FALSE", K3)</f>
        <v>FALSE</v>
      </c>
      <c r="L2" s="124" t="str">
        <f ca="1">IF(ISNA(VLOOKUP(Holidays!H2,L4:L36,1,FALSE)), "FALSE", L3)</f>
        <v>FALSE</v>
      </c>
      <c r="M2" s="124" t="str">
        <f ca="1">IF(ISNA(VLOOKUP(Holidays!H2,M4:M27,1,FALSE)), "FALSE", M3)</f>
        <v>FALSE</v>
      </c>
      <c r="N2" s="124" t="s">
        <v>1108</v>
      </c>
      <c r="Q2" s="126" t="str">
        <f ca="1">IF(ISNUMBER(SEARCH(FALSE,T3)),"",CHAR(10)&amp;T2)&amp;
IF(ISNUMBER(SEARCH(FALSE,U3)),"",CHAR(10)&amp;U2)&amp;
IF(ISNUMBER(SEARCH(FALSE,V3)),"",CHAR(10)&amp;V2)&amp;
IF(ISNUMBER(SEARCH(FALSE,W3)),"",CHAR(10)&amp;W2)&amp;
IF(ISNUMBER(SEARCH(FALSE,X3)),"",CHAR(10)&amp;X2)</f>
        <v/>
      </c>
      <c r="S2" s="103" t="s">
        <v>1101</v>
      </c>
      <c r="T2" s="103" t="s">
        <v>1103</v>
      </c>
      <c r="U2" s="103" t="s">
        <v>1104</v>
      </c>
      <c r="V2" s="103" t="s">
        <v>1105</v>
      </c>
      <c r="W2" s="103" t="s">
        <v>1106</v>
      </c>
      <c r="X2" s="129" t="s">
        <v>1099</v>
      </c>
    </row>
    <row r="3" spans="1:24">
      <c r="A3" s="117" t="s">
        <v>1087</v>
      </c>
      <c r="B3" s="115" t="s">
        <v>1089</v>
      </c>
      <c r="C3" s="115" t="s">
        <v>1088</v>
      </c>
      <c r="D3" s="115" t="s">
        <v>1090</v>
      </c>
      <c r="E3" s="115" t="s">
        <v>1091</v>
      </c>
      <c r="F3" s="115" t="s">
        <v>1092</v>
      </c>
      <c r="G3" s="115" t="s">
        <v>1093</v>
      </c>
      <c r="H3" s="115" t="s">
        <v>1095</v>
      </c>
      <c r="I3" s="115" t="s">
        <v>1096</v>
      </c>
      <c r="J3" s="115" t="s">
        <v>1097</v>
      </c>
      <c r="K3" s="115" t="s">
        <v>1094</v>
      </c>
      <c r="L3" s="115" t="s">
        <v>1100</v>
      </c>
      <c r="M3" s="115" t="s">
        <v>1109</v>
      </c>
      <c r="N3" s="115" t="s">
        <v>1108</v>
      </c>
      <c r="Q3" t="str">
        <f ca="1">IF(ISNUMBER(SEARCH(FALSE,T3)),"",T2)&amp;
IF(ISNUMBER(SEARCH(FALSE,U3)),"",U2)&amp;
IF(ISNUMBER(SEARCH(FALSE,V3)),"",V2)&amp;
IF(ISNUMBER(SEARCH(FALSE,W3)),"",W2)&amp;
IF(ISNUMBER(SEARCH(FALSE,X3)),"",X2)</f>
        <v/>
      </c>
      <c r="R3" s="103" t="s">
        <v>1110</v>
      </c>
      <c r="S3" s="131" t="str">
        <f ca="1">TEXT(Holidays!I2+7,"[$-he-IL,8]mmmm dd;@")</f>
        <v>אייר 28</v>
      </c>
      <c r="T3" t="str">
        <f ca="1">IFERROR(VLOOKUP("אדר 01",S3:S9,1,FALSE),"FALSE")</f>
        <v>FALSE</v>
      </c>
      <c r="U3" s="101" t="str">
        <f ca="1">IFERROR(VLOOKUP("אדר 14",S3:S9,1,FALSE),"FALSE")</f>
        <v>FALSE</v>
      </c>
      <c r="V3" t="str">
        <f ca="1">IFERROR(VLOOKUP("ניסן 01",S10:S16,1,FALSE),"FALSE")</f>
        <v>FALSE</v>
      </c>
      <c r="W3" s="101" t="str">
        <f ca="1">IFERROR(VLOOKUP("ניסן 01",S3:S9,1,FALSE),"FALSE")</f>
        <v>FALSE</v>
      </c>
      <c r="X3" s="101" t="str">
        <f ca="1">IFERROR(VLOOKUP("ניסן 14",S3:S9,1,FALSE),"FALSE")</f>
        <v>FALSE</v>
      </c>
    </row>
    <row r="4" spans="1:24">
      <c r="A4" s="105" t="s">
        <v>326</v>
      </c>
      <c r="B4" s="105" t="s">
        <v>310</v>
      </c>
      <c r="C4" s="105" t="s">
        <v>312</v>
      </c>
      <c r="D4" s="105" t="s">
        <v>318</v>
      </c>
      <c r="E4" s="103" t="s">
        <v>371</v>
      </c>
      <c r="F4" s="103" t="s">
        <v>184</v>
      </c>
      <c r="G4" s="103" t="s">
        <v>372</v>
      </c>
      <c r="H4" s="125" t="b">
        <f ca="1">IF(ISNUMBER(SEARCH("תענית אסתר",גיליון2!A10)),TRUE,FALSE)</f>
        <v>0</v>
      </c>
      <c r="I4" s="105" t="s">
        <v>297</v>
      </c>
      <c r="J4" s="105" t="s">
        <v>326</v>
      </c>
      <c r="K4" s="105" t="s">
        <v>326</v>
      </c>
      <c r="L4" s="103" t="s">
        <v>357</v>
      </c>
      <c r="M4" s="105" t="s">
        <v>326</v>
      </c>
      <c r="R4" s="103" t="s">
        <v>1111</v>
      </c>
      <c r="S4" s="132" t="str">
        <f ca="1">TEXT(Holidays!I2+8,"[$-he-IL,8]mmmm dd;@")</f>
        <v>אייר 29</v>
      </c>
    </row>
    <row r="5" spans="1:24">
      <c r="A5" s="103" t="s">
        <v>178</v>
      </c>
      <c r="B5" s="105" t="s">
        <v>311</v>
      </c>
      <c r="C5" s="105" t="s">
        <v>313</v>
      </c>
      <c r="D5" s="105" t="s">
        <v>319</v>
      </c>
      <c r="E5" s="103" t="s">
        <v>372</v>
      </c>
      <c r="F5" s="103" t="s">
        <v>185</v>
      </c>
      <c r="G5" s="103" t="s">
        <v>373</v>
      </c>
      <c r="H5" s="125" t="b">
        <f ca="1">IF(ISNUMBER(SEARCH("צום שבעה עשר בתמוז",גיליון2!A10)),TRUE,FALSE)</f>
        <v>0</v>
      </c>
      <c r="I5" s="105" t="s">
        <v>298</v>
      </c>
      <c r="J5" s="103" t="s">
        <v>178</v>
      </c>
      <c r="K5" s="103" t="s">
        <v>178</v>
      </c>
      <c r="L5" s="103" t="s">
        <v>358</v>
      </c>
      <c r="M5" s="103" t="s">
        <v>178</v>
      </c>
      <c r="R5" s="103" t="s">
        <v>1112</v>
      </c>
      <c r="S5" s="132" t="str">
        <f ca="1">TEXT(Holidays!I2+9,"[$-he-IL,8]mmmm dd;@")</f>
        <v>סיון 01</v>
      </c>
    </row>
    <row r="6" spans="1:24">
      <c r="A6" s="103" t="s">
        <v>206</v>
      </c>
      <c r="B6" s="105" t="s">
        <v>312</v>
      </c>
      <c r="C6" s="105" t="s">
        <v>314</v>
      </c>
      <c r="D6" s="105" t="s">
        <v>320</v>
      </c>
      <c r="E6" s="103" t="s">
        <v>373</v>
      </c>
      <c r="F6" s="103" t="s">
        <v>186</v>
      </c>
      <c r="G6" s="103" t="s">
        <v>374</v>
      </c>
      <c r="H6" s="125" t="b">
        <f ca="1">IF(ISNUMBER(SEARCH("תשעה באב",גיליון2!A10)),TRUE,FALSE)</f>
        <v>0</v>
      </c>
      <c r="I6" s="105" t="s">
        <v>299</v>
      </c>
      <c r="J6" s="103" t="s">
        <v>206</v>
      </c>
      <c r="K6" s="103" t="s">
        <v>206</v>
      </c>
      <c r="L6" s="103" t="s">
        <v>359</v>
      </c>
      <c r="M6" s="103" t="s">
        <v>206</v>
      </c>
      <c r="R6" s="103" t="s">
        <v>1113</v>
      </c>
      <c r="S6" s="132" t="str">
        <f ca="1">TEXT(Holidays!I2+10,"[$-he-IL,8]mmmm dd;@")</f>
        <v>סיון 02</v>
      </c>
    </row>
    <row r="7" spans="1:24">
      <c r="A7" s="103" t="s">
        <v>207</v>
      </c>
      <c r="B7" s="105" t="s">
        <v>313</v>
      </c>
      <c r="C7" s="105" t="s">
        <v>315</v>
      </c>
      <c r="D7" s="105" t="s">
        <v>321</v>
      </c>
      <c r="E7" s="103" t="s">
        <v>374</v>
      </c>
      <c r="F7" s="103" t="s">
        <v>187</v>
      </c>
      <c r="G7" s="103" t="s">
        <v>375</v>
      </c>
      <c r="H7" s="125" t="b">
        <f ca="1">IF(ISNUMBER(SEARCH("צום גדליה",גיליון2!A10)),TRUE,FALSE)</f>
        <v>0</v>
      </c>
      <c r="I7" s="105" t="s">
        <v>300</v>
      </c>
      <c r="J7" s="103" t="s">
        <v>207</v>
      </c>
      <c r="K7" s="103" t="s">
        <v>207</v>
      </c>
      <c r="L7" s="103" t="s">
        <v>360</v>
      </c>
      <c r="M7" s="103" t="s">
        <v>207</v>
      </c>
      <c r="R7" s="103" t="s">
        <v>1114</v>
      </c>
      <c r="S7" s="132" t="str">
        <f ca="1">TEXT(Holidays!I2+11,"[$-he-IL,8]mmmm dd;@")</f>
        <v>סיון 03</v>
      </c>
    </row>
    <row r="8" spans="1:24">
      <c r="A8" s="103" t="s">
        <v>266</v>
      </c>
      <c r="B8" s="105" t="s">
        <v>314</v>
      </c>
      <c r="C8" s="105" t="s">
        <v>316</v>
      </c>
      <c r="D8" s="105" t="s">
        <v>322</v>
      </c>
      <c r="E8" s="103" t="s">
        <v>375</v>
      </c>
      <c r="F8" s="103" t="s">
        <v>188</v>
      </c>
      <c r="G8" s="103" t="s">
        <v>376</v>
      </c>
      <c r="I8" s="105" t="s">
        <v>301</v>
      </c>
      <c r="J8" s="103" t="s">
        <v>266</v>
      </c>
      <c r="K8" s="103" t="s">
        <v>266</v>
      </c>
      <c r="L8" s="103" t="s">
        <v>361</v>
      </c>
      <c r="M8" s="103" t="s">
        <v>266</v>
      </c>
      <c r="O8" s="118"/>
      <c r="P8" s="118"/>
      <c r="R8" s="103" t="s">
        <v>1115</v>
      </c>
      <c r="S8" s="132" t="str">
        <f ca="1">TEXT(Holidays!I2+12,"[$-he-IL,8]mmmm dd;@")</f>
        <v>סיון 04</v>
      </c>
    </row>
    <row r="9" spans="1:24">
      <c r="A9" s="103" t="s">
        <v>267</v>
      </c>
      <c r="B9" s="105" t="s">
        <v>315</v>
      </c>
      <c r="C9" s="105" t="s">
        <v>317</v>
      </c>
      <c r="D9" s="105" t="s">
        <v>323</v>
      </c>
      <c r="E9" s="103" t="s">
        <v>376</v>
      </c>
      <c r="F9" s="103" t="s">
        <v>189</v>
      </c>
      <c r="G9" s="103" t="s">
        <v>377</v>
      </c>
      <c r="I9" s="105" t="s">
        <v>302</v>
      </c>
      <c r="J9" s="103" t="s">
        <v>267</v>
      </c>
      <c r="K9" s="103" t="s">
        <v>267</v>
      </c>
      <c r="L9" s="103" t="s">
        <v>362</v>
      </c>
      <c r="M9" s="103" t="s">
        <v>267</v>
      </c>
      <c r="R9" s="103" t="s">
        <v>1116</v>
      </c>
      <c r="S9" s="132" t="str">
        <f ca="1">TEXT(Holidays!I2+13,"[$-he-IL,8]mmmm dd;@")</f>
        <v>סיון 05</v>
      </c>
    </row>
    <row r="10" spans="1:24">
      <c r="A10" s="103" t="s">
        <v>296</v>
      </c>
      <c r="B10" s="105" t="s">
        <v>316</v>
      </c>
      <c r="C10" s="103" t="s">
        <v>231</v>
      </c>
      <c r="D10" s="105" t="s">
        <v>324</v>
      </c>
      <c r="E10" s="103" t="s">
        <v>377</v>
      </c>
      <c r="F10" s="103" t="s">
        <v>190</v>
      </c>
      <c r="G10" s="103" t="s">
        <v>378</v>
      </c>
      <c r="I10" s="105" t="s">
        <v>303</v>
      </c>
      <c r="J10" s="103" t="s">
        <v>296</v>
      </c>
      <c r="K10" s="103" t="s">
        <v>296</v>
      </c>
      <c r="L10" s="103" t="s">
        <v>363</v>
      </c>
      <c r="M10" s="103" t="s">
        <v>296</v>
      </c>
      <c r="S10" s="127" t="str">
        <f ca="1">TEXT(Holidays!I2+14,"[$-he-IL,8]mmmm dd;@")</f>
        <v>סיון 06</v>
      </c>
    </row>
    <row r="11" spans="1:24">
      <c r="A11" s="103" t="s">
        <v>327</v>
      </c>
      <c r="B11" s="105" t="s">
        <v>317</v>
      </c>
      <c r="C11" s="103" t="s">
        <v>232</v>
      </c>
      <c r="D11" s="105" t="s">
        <v>325</v>
      </c>
      <c r="E11" s="103" t="s">
        <v>378</v>
      </c>
      <c r="F11" s="103" t="s">
        <v>191</v>
      </c>
      <c r="G11" s="103" t="s">
        <v>379</v>
      </c>
      <c r="I11" s="105" t="s">
        <v>304</v>
      </c>
      <c r="J11" s="103" t="s">
        <v>327</v>
      </c>
      <c r="K11" s="103" t="s">
        <v>327</v>
      </c>
      <c r="L11" s="103" t="s">
        <v>364</v>
      </c>
      <c r="M11" s="103" t="s">
        <v>327</v>
      </c>
      <c r="O11" s="121"/>
      <c r="S11" s="102" t="str">
        <f ca="1">TEXT(Holidays!I2+15,"[$-he-IL,8]mmmm dd;@")</f>
        <v>סיון 07</v>
      </c>
    </row>
    <row r="12" spans="1:24">
      <c r="A12" s="103" t="s">
        <v>356</v>
      </c>
      <c r="B12" s="105" t="s">
        <v>318</v>
      </c>
      <c r="C12" s="103" t="s">
        <v>233</v>
      </c>
      <c r="D12" s="105" t="s">
        <v>326</v>
      </c>
      <c r="E12" s="103" t="s">
        <v>379</v>
      </c>
      <c r="F12" s="103" t="s">
        <v>192</v>
      </c>
      <c r="G12" s="103" t="s">
        <v>380</v>
      </c>
      <c r="I12" s="105" t="s">
        <v>305</v>
      </c>
      <c r="J12" s="103" t="s">
        <v>356</v>
      </c>
      <c r="K12" s="103" t="s">
        <v>356</v>
      </c>
      <c r="L12" s="103" t="s">
        <v>365</v>
      </c>
      <c r="M12" s="103" t="s">
        <v>356</v>
      </c>
      <c r="O12" s="103" t="s">
        <v>1098</v>
      </c>
      <c r="S12" s="102" t="str">
        <f ca="1">TEXT(Holidays!I2+16,"[$-he-IL,8]mmmm dd;@")</f>
        <v>סיון 08</v>
      </c>
    </row>
    <row r="13" spans="1:24" ht="42.75">
      <c r="A13" s="101" t="s">
        <v>966</v>
      </c>
      <c r="B13" s="103" t="s">
        <v>231</v>
      </c>
      <c r="C13" s="103" t="s">
        <v>234</v>
      </c>
      <c r="D13" s="103" t="s">
        <v>178</v>
      </c>
      <c r="E13" s="103" t="s">
        <v>380</v>
      </c>
      <c r="F13" s="103" t="s">
        <v>193</v>
      </c>
      <c r="G13" s="103" t="s">
        <v>381</v>
      </c>
      <c r="I13" s="105" t="s">
        <v>306</v>
      </c>
      <c r="J13" s="101" t="s">
        <v>966</v>
      </c>
      <c r="K13" s="101" t="s">
        <v>966</v>
      </c>
      <c r="L13" s="103" t="s">
        <v>366</v>
      </c>
      <c r="M13" s="101" t="s">
        <v>966</v>
      </c>
      <c r="O13" s="123" t="str">
        <f ca="1">IF(ISNUMBER(SEARCH(FALSE,A2)),"",A2&amp;CHAR(10))&amp;
IF(ISNUMBER(SEARCH(FALSE,B2)),"",B2&amp;CHAR(10))&amp;
IF(ISNUMBER(SEARCH(FALSE,C2)),"",C2&amp;CHAR(10))&amp;
IF(ISNUMBER(SEARCH(FALSE,D2)),"",D2&amp;CHAR(10))&amp;
IF(ISNUMBER(SEARCH(FALSE,E2)),"",E2&amp;CHAR(10))&amp;
IF(ISNUMBER(SEARCH(FALSE,F2)),"",F2&amp;CHAR(10))&amp;
IF(ISNUMBER(SEARCH(FALSE,G2)),"",G2&amp;CHAR(10))&amp;
IF(ISNUMBER(SEARCH(FALSE,H4)),"",H4&amp;CHAR(10))&amp;
IF(ISNUMBER(SEARCH(FALSE,I2)),"",I2&amp;CHAR(10))&amp;
IF(ISNUMBER(SEARCH(FALSE,J2)),"",J2&amp;CHAR(10))&amp;
IF(ISNUMBER(SEARCH(FALSE,K2)),"",K2&amp;CHAR(10))&amp;
IF(ISNUMBER(SEARCH(FALSE,L2)),"",L2&amp;CHAR(10))</f>
        <v xml:space="preserve">מוריד הטל
ברכנו
</v>
      </c>
      <c r="S13" s="102" t="str">
        <f ca="1">TEXT(Holidays!I2+17,"[$-he-IL,8]mmmm dd;@")</f>
        <v>סיון 09</v>
      </c>
    </row>
    <row r="14" spans="1:24">
      <c r="A14" s="101" t="s">
        <v>996</v>
      </c>
      <c r="B14" s="103" t="s">
        <v>232</v>
      </c>
      <c r="C14" s="103" t="s">
        <v>235</v>
      </c>
      <c r="D14" s="103" t="s">
        <v>179</v>
      </c>
      <c r="E14" s="103" t="s">
        <v>381</v>
      </c>
      <c r="F14" s="103" t="s">
        <v>194</v>
      </c>
      <c r="G14" s="103" t="s">
        <v>382</v>
      </c>
      <c r="J14" s="101" t="s">
        <v>996</v>
      </c>
      <c r="K14" s="101" t="s">
        <v>996</v>
      </c>
      <c r="L14" s="103" t="s">
        <v>367</v>
      </c>
      <c r="M14" s="101" t="s">
        <v>996</v>
      </c>
      <c r="O14" s="122"/>
      <c r="S14" s="102" t="str">
        <f ca="1">TEXT(Holidays!I2+18,"[$-he-IL,8]mmmm dd;@")</f>
        <v>סיון 10</v>
      </c>
    </row>
    <row r="15" spans="1:24">
      <c r="A15" s="103" t="s">
        <v>967</v>
      </c>
      <c r="B15" s="103" t="s">
        <v>233</v>
      </c>
      <c r="C15" s="103" t="s">
        <v>236</v>
      </c>
      <c r="D15" s="103" t="s">
        <v>180</v>
      </c>
      <c r="E15" s="103" t="s">
        <v>382</v>
      </c>
      <c r="F15" s="103" t="s">
        <v>195</v>
      </c>
      <c r="G15" s="103" t="s">
        <v>383</v>
      </c>
      <c r="J15" s="103" t="s">
        <v>967</v>
      </c>
      <c r="K15" s="103" t="s">
        <v>967</v>
      </c>
      <c r="L15" s="103" t="s">
        <v>368</v>
      </c>
      <c r="M15" s="103" t="s">
        <v>967</v>
      </c>
      <c r="S15" s="102" t="str">
        <f ca="1">TEXT(Holidays!I2+19,"[$-he-IL,8]mmmm dd;@")</f>
        <v>סיון 11</v>
      </c>
    </row>
    <row r="16" spans="1:24">
      <c r="A16" s="103" t="s">
        <v>1025</v>
      </c>
      <c r="B16" s="103" t="s">
        <v>234</v>
      </c>
      <c r="C16" s="103" t="s">
        <v>237</v>
      </c>
      <c r="D16" s="103" t="s">
        <v>181</v>
      </c>
      <c r="E16" s="103" t="s">
        <v>383</v>
      </c>
      <c r="F16" s="103" t="s">
        <v>196</v>
      </c>
      <c r="G16" s="103" t="s">
        <v>384</v>
      </c>
      <c r="J16" s="103" t="s">
        <v>1025</v>
      </c>
      <c r="K16" s="103" t="s">
        <v>1025</v>
      </c>
      <c r="L16" s="103" t="s">
        <v>369</v>
      </c>
      <c r="M16" s="103" t="s">
        <v>1025</v>
      </c>
      <c r="S16" s="102" t="str">
        <f ca="1">TEXT(Holidays!I2+20,"[$-he-IL,8]mmmm dd;@")</f>
        <v>סיון 12</v>
      </c>
    </row>
    <row r="17" spans="1:20">
      <c r="A17" s="103" t="s">
        <v>357</v>
      </c>
      <c r="B17" s="103" t="s">
        <v>235</v>
      </c>
      <c r="C17" s="103" t="s">
        <v>238</v>
      </c>
      <c r="D17" s="103" t="s">
        <v>182</v>
      </c>
      <c r="E17" s="103" t="s">
        <v>384</v>
      </c>
      <c r="F17" s="103" t="s">
        <v>197</v>
      </c>
      <c r="G17" s="103" t="s">
        <v>385</v>
      </c>
      <c r="J17" s="103" t="s">
        <v>357</v>
      </c>
      <c r="K17" s="103" t="s">
        <v>357</v>
      </c>
      <c r="M17" s="103" t="s">
        <v>357</v>
      </c>
      <c r="T17" s="129" t="s">
        <v>1109</v>
      </c>
    </row>
    <row r="18" spans="1:20">
      <c r="A18" s="103" t="s">
        <v>386</v>
      </c>
      <c r="B18" s="103" t="s">
        <v>236</v>
      </c>
      <c r="C18" s="103" t="s">
        <v>281</v>
      </c>
      <c r="D18" s="103" t="s">
        <v>183</v>
      </c>
      <c r="E18" s="103" t="s">
        <v>385</v>
      </c>
      <c r="F18" s="103" t="s">
        <v>177</v>
      </c>
      <c r="G18" s="103" t="s">
        <v>386</v>
      </c>
      <c r="J18" s="103" t="s">
        <v>386</v>
      </c>
      <c r="K18" s="103" t="s">
        <v>386</v>
      </c>
      <c r="M18" s="103" t="s">
        <v>386</v>
      </c>
      <c r="T18" t="str">
        <f ca="1">IFERROR(VLOOKUP("21",S3:S9,2),"FALSE")</f>
        <v>FALSE</v>
      </c>
    </row>
    <row r="19" spans="1:20">
      <c r="A19" s="103" t="s">
        <v>387</v>
      </c>
      <c r="B19" s="103" t="s">
        <v>237</v>
      </c>
      <c r="C19" s="103" t="s">
        <v>339</v>
      </c>
      <c r="D19" s="103" t="s">
        <v>184</v>
      </c>
      <c r="E19" s="103" t="s">
        <v>386</v>
      </c>
      <c r="F19" s="103" t="s">
        <v>198</v>
      </c>
      <c r="G19" s="103" t="s">
        <v>387</v>
      </c>
      <c r="J19" s="103" t="s">
        <v>387</v>
      </c>
      <c r="K19" s="103" t="s">
        <v>387</v>
      </c>
      <c r="M19" s="103" t="s">
        <v>387</v>
      </c>
      <c r="S19" s="129">
        <v>22</v>
      </c>
      <c r="T19" t="e">
        <f>VLOOKUP(S19,R3:S9,2)</f>
        <v>#N/A</v>
      </c>
    </row>
    <row r="20" spans="1:20">
      <c r="A20" s="103" t="s">
        <v>416</v>
      </c>
      <c r="B20" s="103" t="s">
        <v>238</v>
      </c>
      <c r="C20" s="103" t="s">
        <v>340</v>
      </c>
      <c r="D20" s="103" t="s">
        <v>185</v>
      </c>
      <c r="E20" s="103" t="s">
        <v>387</v>
      </c>
      <c r="F20" s="103" t="s">
        <v>199</v>
      </c>
      <c r="G20" s="103" t="s">
        <v>388</v>
      </c>
      <c r="J20" s="103" t="s">
        <v>416</v>
      </c>
      <c r="K20" s="103" t="s">
        <v>416</v>
      </c>
      <c r="M20" s="103" t="s">
        <v>416</v>
      </c>
      <c r="T20" t="e">
        <f>IF(LEFT(TRIM(S3:S9),1)="22","OK","Not OK")</f>
        <v>#VALUE!</v>
      </c>
    </row>
    <row r="21" spans="1:20">
      <c r="A21" s="103" t="s">
        <v>417</v>
      </c>
      <c r="B21" s="103" t="s">
        <v>370</v>
      </c>
      <c r="C21" s="103" t="s">
        <v>341</v>
      </c>
      <c r="D21" s="103" t="s">
        <v>186</v>
      </c>
      <c r="E21" s="103" t="s">
        <v>388</v>
      </c>
      <c r="F21" s="103" t="s">
        <v>200</v>
      </c>
      <c r="G21" s="103" t="s">
        <v>389</v>
      </c>
      <c r="J21" s="103" t="s">
        <v>417</v>
      </c>
      <c r="K21" s="103" t="s">
        <v>417</v>
      </c>
      <c r="M21" s="103" t="s">
        <v>417</v>
      </c>
      <c r="T21" t="b">
        <f ca="1">COUNTIF(S3:S9,"*"&amp;22&amp;"*")&gt;0</f>
        <v>0</v>
      </c>
    </row>
    <row r="22" spans="1:20" ht="15">
      <c r="A22" s="103" t="s">
        <v>446</v>
      </c>
      <c r="B22" s="103" t="s">
        <v>421</v>
      </c>
      <c r="C22" s="103" t="s">
        <v>403</v>
      </c>
      <c r="D22" s="103" t="s">
        <v>187</v>
      </c>
      <c r="E22" s="103" t="s">
        <v>389</v>
      </c>
      <c r="F22" s="103" t="s">
        <v>201</v>
      </c>
      <c r="G22" s="103" t="s">
        <v>390</v>
      </c>
      <c r="J22" s="103" t="s">
        <v>446</v>
      </c>
      <c r="K22" s="103" t="s">
        <v>446</v>
      </c>
      <c r="M22" s="103" t="s">
        <v>446</v>
      </c>
      <c r="T22" s="130" t="e">
        <f>VLOOKUP(TRUNC(S19,2),R3:S9,2,FALSE)</f>
        <v>#N/A</v>
      </c>
    </row>
    <row r="23" spans="1:20" ht="15">
      <c r="A23" s="103" t="s">
        <v>447</v>
      </c>
      <c r="B23" s="103" t="s">
        <v>422</v>
      </c>
      <c r="C23" s="103" t="s">
        <v>423</v>
      </c>
      <c r="D23" s="103" t="s">
        <v>188</v>
      </c>
      <c r="E23" s="103" t="s">
        <v>390</v>
      </c>
      <c r="F23" s="103" t="s">
        <v>202</v>
      </c>
      <c r="G23" s="103" t="s">
        <v>391</v>
      </c>
      <c r="J23" s="103" t="s">
        <v>447</v>
      </c>
      <c r="K23" s="103" t="s">
        <v>447</v>
      </c>
      <c r="M23" s="103" t="s">
        <v>447</v>
      </c>
      <c r="T23" s="130" t="e">
        <f>IFERROR(VLOOKUP(VALUE(S19),R3:S9,2,0),VLOOKUP(TEXT(S19,0),R3:S9,2,0))</f>
        <v>#N/A</v>
      </c>
    </row>
    <row r="24" spans="1:20">
      <c r="A24" s="103" t="s">
        <v>476</v>
      </c>
      <c r="C24" s="103" t="s">
        <v>424</v>
      </c>
      <c r="D24" s="103" t="s">
        <v>189</v>
      </c>
      <c r="E24" s="103" t="s">
        <v>391</v>
      </c>
      <c r="F24" s="103" t="s">
        <v>203</v>
      </c>
      <c r="G24" s="103" t="s">
        <v>392</v>
      </c>
      <c r="J24" s="103" t="s">
        <v>476</v>
      </c>
      <c r="K24" s="103" t="s">
        <v>476</v>
      </c>
      <c r="M24" s="103" t="s">
        <v>476</v>
      </c>
    </row>
    <row r="25" spans="1:20">
      <c r="A25" s="103" t="s">
        <v>477</v>
      </c>
      <c r="C25" s="103" t="s">
        <v>425</v>
      </c>
      <c r="D25" s="103" t="s">
        <v>190</v>
      </c>
      <c r="E25" s="103" t="s">
        <v>392</v>
      </c>
      <c r="F25" s="103" t="s">
        <v>204</v>
      </c>
      <c r="G25" s="103" t="s">
        <v>393</v>
      </c>
      <c r="J25" s="103" t="s">
        <v>477</v>
      </c>
      <c r="K25" s="103" t="s">
        <v>477</v>
      </c>
      <c r="M25" s="103" t="s">
        <v>477</v>
      </c>
    </row>
    <row r="26" spans="1:20">
      <c r="A26" s="103" t="s">
        <v>506</v>
      </c>
      <c r="C26" s="103" t="s">
        <v>426</v>
      </c>
      <c r="D26" s="103" t="s">
        <v>191</v>
      </c>
      <c r="E26" s="103" t="s">
        <v>393</v>
      </c>
      <c r="F26" s="103" t="s">
        <v>205</v>
      </c>
      <c r="G26" s="103" t="s">
        <v>394</v>
      </c>
      <c r="J26" s="103" t="s">
        <v>506</v>
      </c>
      <c r="K26" s="103" t="s">
        <v>506</v>
      </c>
      <c r="M26" s="103" t="s">
        <v>506</v>
      </c>
    </row>
    <row r="27" spans="1:20">
      <c r="A27" s="103" t="s">
        <v>507</v>
      </c>
      <c r="C27" s="103" t="s">
        <v>427</v>
      </c>
      <c r="D27" s="103" t="s">
        <v>192</v>
      </c>
      <c r="E27" s="103" t="s">
        <v>394</v>
      </c>
      <c r="F27" s="103" t="s">
        <v>206</v>
      </c>
      <c r="G27" s="103" t="s">
        <v>395</v>
      </c>
      <c r="J27" s="103" t="s">
        <v>507</v>
      </c>
      <c r="K27" s="103" t="s">
        <v>507</v>
      </c>
      <c r="M27" s="103" t="s">
        <v>507</v>
      </c>
    </row>
    <row r="28" spans="1:20">
      <c r="A28" s="103" t="s">
        <v>371</v>
      </c>
      <c r="C28" s="103" t="s">
        <v>428</v>
      </c>
      <c r="D28" s="103" t="s">
        <v>193</v>
      </c>
      <c r="E28" s="103" t="s">
        <v>395</v>
      </c>
      <c r="F28" s="103" t="s">
        <v>207</v>
      </c>
      <c r="G28" s="103" t="s">
        <v>396</v>
      </c>
      <c r="J28" s="103" t="s">
        <v>371</v>
      </c>
      <c r="K28" s="103"/>
    </row>
    <row r="29" spans="1:20">
      <c r="A29" s="103" t="s">
        <v>372</v>
      </c>
      <c r="C29" s="103" t="s">
        <v>491</v>
      </c>
      <c r="D29" s="103" t="s">
        <v>194</v>
      </c>
      <c r="E29" s="103" t="s">
        <v>396</v>
      </c>
      <c r="F29" s="103" t="s">
        <v>208</v>
      </c>
      <c r="G29" s="103" t="s">
        <v>397</v>
      </c>
      <c r="J29" s="103" t="s">
        <v>372</v>
      </c>
      <c r="K29" s="103"/>
    </row>
    <row r="30" spans="1:20">
      <c r="A30" s="103" t="s">
        <v>373</v>
      </c>
      <c r="C30" s="103" t="s">
        <v>357</v>
      </c>
      <c r="D30" s="103" t="s">
        <v>195</v>
      </c>
      <c r="E30" s="103" t="s">
        <v>397</v>
      </c>
      <c r="F30" s="103" t="s">
        <v>209</v>
      </c>
      <c r="G30" s="103" t="s">
        <v>398</v>
      </c>
      <c r="J30" s="103" t="s">
        <v>373</v>
      </c>
      <c r="K30" s="103"/>
    </row>
    <row r="31" spans="1:20">
      <c r="A31" s="103" t="s">
        <v>374</v>
      </c>
      <c r="C31" s="103" t="s">
        <v>358</v>
      </c>
      <c r="D31" s="103" t="s">
        <v>196</v>
      </c>
      <c r="E31" s="103" t="s">
        <v>398</v>
      </c>
      <c r="F31" s="103" t="s">
        <v>210</v>
      </c>
      <c r="G31" s="103" t="s">
        <v>399</v>
      </c>
      <c r="J31" s="103" t="s">
        <v>374</v>
      </c>
      <c r="K31" s="103"/>
    </row>
    <row r="32" spans="1:20">
      <c r="A32" s="103" t="s">
        <v>375</v>
      </c>
      <c r="C32" s="103" t="s">
        <v>359</v>
      </c>
      <c r="D32" s="103" t="s">
        <v>197</v>
      </c>
      <c r="E32" s="103" t="s">
        <v>399</v>
      </c>
      <c r="F32" s="103" t="s">
        <v>211</v>
      </c>
      <c r="G32" s="103" t="s">
        <v>400</v>
      </c>
      <c r="J32" s="103" t="s">
        <v>375</v>
      </c>
      <c r="K32" s="103"/>
    </row>
    <row r="33" spans="1:11">
      <c r="A33" s="103" t="s">
        <v>376</v>
      </c>
      <c r="C33" s="103" t="s">
        <v>360</v>
      </c>
      <c r="D33" s="103" t="s">
        <v>177</v>
      </c>
      <c r="E33" s="103" t="s">
        <v>400</v>
      </c>
      <c r="F33" s="103" t="s">
        <v>212</v>
      </c>
      <c r="G33" s="103" t="s">
        <v>401</v>
      </c>
      <c r="J33" s="103" t="s">
        <v>376</v>
      </c>
      <c r="K33" s="103"/>
    </row>
    <row r="34" spans="1:11">
      <c r="A34" s="103" t="s">
        <v>377</v>
      </c>
      <c r="C34" s="103" t="s">
        <v>361</v>
      </c>
      <c r="D34" s="103" t="s">
        <v>198</v>
      </c>
      <c r="E34" s="103" t="s">
        <v>401</v>
      </c>
      <c r="F34" s="103" t="s">
        <v>213</v>
      </c>
      <c r="G34" s="103" t="s">
        <v>402</v>
      </c>
      <c r="J34" s="103" t="s">
        <v>377</v>
      </c>
      <c r="K34" s="103"/>
    </row>
    <row r="35" spans="1:11">
      <c r="C35" s="103" t="s">
        <v>362</v>
      </c>
      <c r="D35" s="103" t="s">
        <v>199</v>
      </c>
      <c r="E35" s="103" t="s">
        <v>402</v>
      </c>
      <c r="F35" s="103" t="s">
        <v>214</v>
      </c>
      <c r="G35" s="103" t="s">
        <v>403</v>
      </c>
      <c r="J35" s="116" t="s">
        <v>1089</v>
      </c>
    </row>
    <row r="36" spans="1:11">
      <c r="C36" s="103" t="s">
        <v>363</v>
      </c>
      <c r="D36" s="103" t="s">
        <v>200</v>
      </c>
      <c r="E36" s="103" t="s">
        <v>403</v>
      </c>
      <c r="F36" s="103" t="s">
        <v>215</v>
      </c>
      <c r="G36" s="103" t="s">
        <v>404</v>
      </c>
      <c r="J36" s="105" t="s">
        <v>310</v>
      </c>
    </row>
    <row r="37" spans="1:11">
      <c r="C37" s="103" t="s">
        <v>364</v>
      </c>
      <c r="D37" s="103" t="s">
        <v>201</v>
      </c>
      <c r="E37" s="103" t="s">
        <v>404</v>
      </c>
      <c r="F37" s="103" t="s">
        <v>216</v>
      </c>
      <c r="G37" s="103" t="s">
        <v>405</v>
      </c>
      <c r="J37" s="105" t="s">
        <v>311</v>
      </c>
    </row>
    <row r="38" spans="1:11">
      <c r="C38" s="103" t="s">
        <v>365</v>
      </c>
      <c r="D38" s="103" t="s">
        <v>202</v>
      </c>
      <c r="E38" s="103" t="s">
        <v>405</v>
      </c>
      <c r="F38" s="103" t="s">
        <v>217</v>
      </c>
      <c r="G38" s="103" t="s">
        <v>406</v>
      </c>
      <c r="J38" s="105" t="s">
        <v>312</v>
      </c>
    </row>
    <row r="39" spans="1:11">
      <c r="C39" s="103" t="s">
        <v>366</v>
      </c>
      <c r="D39" s="103" t="s">
        <v>203</v>
      </c>
      <c r="E39" s="103" t="s">
        <v>406</v>
      </c>
      <c r="F39" s="103" t="s">
        <v>218</v>
      </c>
      <c r="G39" s="103" t="s">
        <v>407</v>
      </c>
      <c r="J39" s="105" t="s">
        <v>313</v>
      </c>
    </row>
    <row r="40" spans="1:11">
      <c r="C40" s="103" t="s">
        <v>367</v>
      </c>
      <c r="D40" s="103" t="s">
        <v>204</v>
      </c>
      <c r="E40" s="103" t="s">
        <v>407</v>
      </c>
      <c r="F40" s="103" t="s">
        <v>219</v>
      </c>
      <c r="G40" s="103" t="s">
        <v>408</v>
      </c>
      <c r="J40" s="105" t="s">
        <v>314</v>
      </c>
    </row>
    <row r="41" spans="1:11">
      <c r="C41" s="103" t="s">
        <v>368</v>
      </c>
      <c r="D41" s="103" t="s">
        <v>205</v>
      </c>
      <c r="E41" s="103" t="s">
        <v>408</v>
      </c>
      <c r="F41" s="103" t="s">
        <v>220</v>
      </c>
      <c r="G41" s="103" t="s">
        <v>409</v>
      </c>
      <c r="J41" s="105" t="s">
        <v>315</v>
      </c>
    </row>
    <row r="42" spans="1:11">
      <c r="C42" s="103" t="s">
        <v>369</v>
      </c>
      <c r="D42" s="103" t="s">
        <v>206</v>
      </c>
      <c r="E42" s="103" t="s">
        <v>409</v>
      </c>
      <c r="F42" s="103" t="s">
        <v>221</v>
      </c>
      <c r="G42" s="103" t="s">
        <v>410</v>
      </c>
      <c r="J42" s="105" t="s">
        <v>316</v>
      </c>
    </row>
    <row r="43" spans="1:11">
      <c r="C43" s="103" t="s">
        <v>370</v>
      </c>
      <c r="D43" s="103" t="s">
        <v>207</v>
      </c>
      <c r="E43" s="103" t="s">
        <v>410</v>
      </c>
      <c r="F43" s="103" t="s">
        <v>222</v>
      </c>
      <c r="G43" s="103" t="s">
        <v>411</v>
      </c>
      <c r="J43" s="105" t="s">
        <v>317</v>
      </c>
    </row>
    <row r="44" spans="1:11">
      <c r="C44" s="103" t="s">
        <v>371</v>
      </c>
      <c r="D44" s="103" t="s">
        <v>208</v>
      </c>
      <c r="E44" s="103" t="s">
        <v>411</v>
      </c>
      <c r="F44" s="103" t="s">
        <v>223</v>
      </c>
      <c r="G44" s="103" t="s">
        <v>412</v>
      </c>
      <c r="J44" s="105" t="s">
        <v>318</v>
      </c>
    </row>
    <row r="45" spans="1:11">
      <c r="C45" s="103" t="s">
        <v>372</v>
      </c>
      <c r="D45" s="103" t="s">
        <v>209</v>
      </c>
      <c r="E45" s="103" t="s">
        <v>412</v>
      </c>
      <c r="F45" s="103" t="s">
        <v>224</v>
      </c>
      <c r="G45" s="103" t="s">
        <v>413</v>
      </c>
      <c r="J45" s="103" t="s">
        <v>231</v>
      </c>
    </row>
    <row r="46" spans="1:11">
      <c r="C46" s="103" t="s">
        <v>373</v>
      </c>
      <c r="D46" s="103" t="s">
        <v>210</v>
      </c>
      <c r="E46" s="103" t="s">
        <v>413</v>
      </c>
      <c r="F46" s="103" t="s">
        <v>225</v>
      </c>
      <c r="G46" s="103" t="s">
        <v>414</v>
      </c>
      <c r="J46" s="103" t="s">
        <v>232</v>
      </c>
    </row>
    <row r="47" spans="1:11">
      <c r="C47" s="103" t="s">
        <v>374</v>
      </c>
      <c r="D47" s="103" t="s">
        <v>211</v>
      </c>
      <c r="E47" s="103" t="s">
        <v>414</v>
      </c>
      <c r="F47" s="103" t="s">
        <v>226</v>
      </c>
      <c r="G47" s="103" t="s">
        <v>415</v>
      </c>
      <c r="J47" s="103" t="s">
        <v>233</v>
      </c>
    </row>
    <row r="48" spans="1:11">
      <c r="C48" s="103" t="s">
        <v>375</v>
      </c>
      <c r="D48" s="103" t="s">
        <v>212</v>
      </c>
      <c r="E48" s="103" t="s">
        <v>415</v>
      </c>
      <c r="F48" s="103" t="s">
        <v>227</v>
      </c>
      <c r="G48" s="103" t="s">
        <v>416</v>
      </c>
      <c r="J48" s="103" t="s">
        <v>234</v>
      </c>
    </row>
    <row r="49" spans="3:10">
      <c r="C49" s="103" t="s">
        <v>376</v>
      </c>
      <c r="D49" s="103" t="s">
        <v>213</v>
      </c>
      <c r="E49" s="103" t="s">
        <v>416</v>
      </c>
      <c r="F49" s="103" t="s">
        <v>228</v>
      </c>
      <c r="G49" s="103" t="s">
        <v>417</v>
      </c>
      <c r="J49" s="103" t="s">
        <v>235</v>
      </c>
    </row>
    <row r="50" spans="3:10">
      <c r="C50" s="103" t="s">
        <v>377</v>
      </c>
      <c r="D50" s="103" t="s">
        <v>214</v>
      </c>
      <c r="E50" s="103" t="s">
        <v>417</v>
      </c>
      <c r="F50" s="103" t="s">
        <v>229</v>
      </c>
      <c r="G50" s="103" t="s">
        <v>418</v>
      </c>
      <c r="J50" s="103" t="s">
        <v>236</v>
      </c>
    </row>
    <row r="51" spans="3:10">
      <c r="C51" s="103" t="s">
        <v>378</v>
      </c>
      <c r="D51" s="103" t="s">
        <v>215</v>
      </c>
      <c r="E51" s="103" t="s">
        <v>418</v>
      </c>
      <c r="F51" s="103" t="s">
        <v>230</v>
      </c>
      <c r="G51" s="103" t="s">
        <v>419</v>
      </c>
      <c r="J51" s="103" t="s">
        <v>237</v>
      </c>
    </row>
    <row r="52" spans="3:10">
      <c r="C52" s="103" t="s">
        <v>379</v>
      </c>
      <c r="D52" s="103" t="s">
        <v>216</v>
      </c>
      <c r="E52" s="103" t="s">
        <v>419</v>
      </c>
      <c r="F52" s="103" t="s">
        <v>231</v>
      </c>
      <c r="G52" s="103" t="s">
        <v>420</v>
      </c>
      <c r="J52" s="103" t="s">
        <v>238</v>
      </c>
    </row>
    <row r="53" spans="3:10">
      <c r="C53" s="103" t="s">
        <v>380</v>
      </c>
      <c r="D53" s="103" t="s">
        <v>217</v>
      </c>
      <c r="E53" s="103" t="s">
        <v>420</v>
      </c>
      <c r="F53" s="103" t="s">
        <v>232</v>
      </c>
      <c r="G53" s="103" t="s">
        <v>421</v>
      </c>
      <c r="J53" s="103" t="s">
        <v>370</v>
      </c>
    </row>
    <row r="54" spans="3:10">
      <c r="C54" s="103" t="s">
        <v>381</v>
      </c>
      <c r="D54" s="103" t="s">
        <v>218</v>
      </c>
      <c r="E54" s="103" t="s">
        <v>421</v>
      </c>
      <c r="F54" s="103" t="s">
        <v>233</v>
      </c>
      <c r="G54" s="103" t="s">
        <v>422</v>
      </c>
      <c r="J54" s="103" t="s">
        <v>421</v>
      </c>
    </row>
    <row r="55" spans="3:10">
      <c r="C55" s="103" t="s">
        <v>382</v>
      </c>
      <c r="D55" s="103" t="s">
        <v>219</v>
      </c>
      <c r="E55" s="103" t="s">
        <v>422</v>
      </c>
      <c r="F55" s="103" t="s">
        <v>234</v>
      </c>
      <c r="G55" s="103" t="s">
        <v>423</v>
      </c>
      <c r="J55" s="103" t="s">
        <v>422</v>
      </c>
    </row>
    <row r="56" spans="3:10">
      <c r="C56" s="103" t="s">
        <v>383</v>
      </c>
      <c r="D56" s="103" t="s">
        <v>220</v>
      </c>
      <c r="E56" s="103" t="s">
        <v>423</v>
      </c>
      <c r="F56" s="103" t="s">
        <v>235</v>
      </c>
      <c r="G56" s="103" t="s">
        <v>424</v>
      </c>
      <c r="J56" s="105" t="s">
        <v>297</v>
      </c>
    </row>
    <row r="57" spans="3:10">
      <c r="C57" s="103" t="s">
        <v>384</v>
      </c>
      <c r="D57" s="103" t="s">
        <v>221</v>
      </c>
      <c r="E57" s="103" t="s">
        <v>424</v>
      </c>
      <c r="F57" s="103" t="s">
        <v>236</v>
      </c>
      <c r="G57" s="103" t="s">
        <v>425</v>
      </c>
      <c r="J57" s="105" t="s">
        <v>298</v>
      </c>
    </row>
    <row r="58" spans="3:10">
      <c r="C58" s="103" t="s">
        <v>385</v>
      </c>
      <c r="D58" s="103" t="s">
        <v>222</v>
      </c>
      <c r="E58" s="103" t="s">
        <v>425</v>
      </c>
      <c r="F58" s="103" t="s">
        <v>237</v>
      </c>
      <c r="G58" s="103" t="s">
        <v>426</v>
      </c>
      <c r="J58" s="105" t="s">
        <v>305</v>
      </c>
    </row>
    <row r="59" spans="3:10">
      <c r="C59" s="103" t="s">
        <v>386</v>
      </c>
      <c r="D59" s="103" t="s">
        <v>223</v>
      </c>
      <c r="E59" s="103" t="s">
        <v>426</v>
      </c>
      <c r="F59" s="103" t="s">
        <v>238</v>
      </c>
      <c r="G59" s="103" t="s">
        <v>427</v>
      </c>
      <c r="J59" s="105" t="s">
        <v>306</v>
      </c>
    </row>
    <row r="60" spans="3:10">
      <c r="D60" s="103" t="s">
        <v>224</v>
      </c>
      <c r="E60" s="103" t="s">
        <v>427</v>
      </c>
      <c r="F60" s="103" t="s">
        <v>239</v>
      </c>
      <c r="G60" s="103" t="s">
        <v>428</v>
      </c>
      <c r="J60" s="105" t="s">
        <v>310</v>
      </c>
    </row>
    <row r="61" spans="3:10">
      <c r="D61" s="103" t="s">
        <v>225</v>
      </c>
      <c r="E61" s="103" t="s">
        <v>428</v>
      </c>
      <c r="F61" s="103" t="s">
        <v>240</v>
      </c>
      <c r="G61" s="103" t="s">
        <v>429</v>
      </c>
      <c r="J61" s="105" t="s">
        <v>311</v>
      </c>
    </row>
    <row r="62" spans="3:10">
      <c r="D62" s="103" t="s">
        <v>226</v>
      </c>
      <c r="E62" s="103" t="s">
        <v>429</v>
      </c>
      <c r="F62" s="103" t="s">
        <v>241</v>
      </c>
      <c r="G62" s="103" t="s">
        <v>430</v>
      </c>
      <c r="J62" s="105" t="s">
        <v>312</v>
      </c>
    </row>
    <row r="63" spans="3:10">
      <c r="D63" s="103" t="s">
        <v>227</v>
      </c>
      <c r="E63" s="103" t="s">
        <v>430</v>
      </c>
      <c r="F63" s="103" t="s">
        <v>242</v>
      </c>
      <c r="G63" s="103" t="s">
        <v>431</v>
      </c>
      <c r="J63" s="105" t="s">
        <v>313</v>
      </c>
    </row>
    <row r="64" spans="3:10">
      <c r="D64" s="103" t="s">
        <v>228</v>
      </c>
      <c r="E64" s="103" t="s">
        <v>431</v>
      </c>
      <c r="F64" s="103" t="s">
        <v>243</v>
      </c>
      <c r="G64" s="103" t="s">
        <v>432</v>
      </c>
      <c r="J64" s="105" t="s">
        <v>314</v>
      </c>
    </row>
    <row r="65" spans="4:10">
      <c r="D65" s="103" t="s">
        <v>229</v>
      </c>
      <c r="E65" s="103" t="s">
        <v>432</v>
      </c>
      <c r="F65" s="103" t="s">
        <v>244</v>
      </c>
      <c r="G65" s="103" t="s">
        <v>433</v>
      </c>
      <c r="J65" s="105" t="s">
        <v>315</v>
      </c>
    </row>
    <row r="66" spans="4:10">
      <c r="D66" s="103" t="s">
        <v>230</v>
      </c>
      <c r="E66" s="103" t="s">
        <v>433</v>
      </c>
      <c r="F66" s="103" t="s">
        <v>245</v>
      </c>
      <c r="G66" s="103" t="s">
        <v>434</v>
      </c>
      <c r="J66" s="105" t="s">
        <v>316</v>
      </c>
    </row>
    <row r="67" spans="4:10">
      <c r="D67" s="103" t="s">
        <v>231</v>
      </c>
      <c r="E67" s="103" t="s">
        <v>434</v>
      </c>
      <c r="F67" s="103" t="s">
        <v>246</v>
      </c>
      <c r="G67" s="103" t="s">
        <v>435</v>
      </c>
      <c r="J67" s="105" t="s">
        <v>317</v>
      </c>
    </row>
    <row r="68" spans="4:10">
      <c r="D68" s="103" t="s">
        <v>232</v>
      </c>
      <c r="E68" s="103" t="s">
        <v>435</v>
      </c>
      <c r="F68" s="103" t="s">
        <v>247</v>
      </c>
      <c r="G68" s="103" t="s">
        <v>436</v>
      </c>
      <c r="J68" s="105" t="s">
        <v>318</v>
      </c>
    </row>
    <row r="69" spans="4:10">
      <c r="D69" s="103" t="s">
        <v>233</v>
      </c>
      <c r="E69" s="103" t="s">
        <v>436</v>
      </c>
      <c r="F69" s="103" t="s">
        <v>248</v>
      </c>
      <c r="G69" s="103" t="s">
        <v>437</v>
      </c>
      <c r="J69" s="103" t="s">
        <v>370</v>
      </c>
    </row>
    <row r="70" spans="4:10">
      <c r="D70" s="103" t="s">
        <v>234</v>
      </c>
      <c r="E70" s="103" t="s">
        <v>437</v>
      </c>
      <c r="F70" s="103" t="s">
        <v>249</v>
      </c>
      <c r="G70" s="103" t="s">
        <v>438</v>
      </c>
      <c r="J70" s="103" t="s">
        <v>371</v>
      </c>
    </row>
    <row r="71" spans="4:10">
      <c r="D71" s="103" t="s">
        <v>235</v>
      </c>
      <c r="E71" s="103" t="s">
        <v>438</v>
      </c>
      <c r="F71" s="103" t="s">
        <v>250</v>
      </c>
      <c r="G71" s="103" t="s">
        <v>439</v>
      </c>
      <c r="J71" s="103" t="s">
        <v>372</v>
      </c>
    </row>
    <row r="72" spans="4:10">
      <c r="D72" s="103" t="s">
        <v>236</v>
      </c>
      <c r="E72" s="103" t="s">
        <v>439</v>
      </c>
      <c r="F72" s="103" t="s">
        <v>251</v>
      </c>
      <c r="G72" s="103" t="s">
        <v>440</v>
      </c>
      <c r="J72" s="103" t="s">
        <v>373</v>
      </c>
    </row>
    <row r="73" spans="4:10">
      <c r="D73" s="103" t="s">
        <v>237</v>
      </c>
      <c r="E73" s="103" t="s">
        <v>440</v>
      </c>
      <c r="F73" s="103" t="s">
        <v>252</v>
      </c>
      <c r="G73" s="103" t="s">
        <v>441</v>
      </c>
      <c r="J73" s="103" t="s">
        <v>374</v>
      </c>
    </row>
    <row r="74" spans="4:10">
      <c r="D74" s="103" t="s">
        <v>238</v>
      </c>
      <c r="E74" s="103" t="s">
        <v>441</v>
      </c>
      <c r="F74" s="103" t="s">
        <v>253</v>
      </c>
      <c r="G74" s="103" t="s">
        <v>442</v>
      </c>
      <c r="J74" s="103" t="s">
        <v>375</v>
      </c>
    </row>
    <row r="75" spans="4:10">
      <c r="D75" s="103" t="s">
        <v>239</v>
      </c>
      <c r="E75" s="103" t="s">
        <v>442</v>
      </c>
      <c r="F75" s="103" t="s">
        <v>254</v>
      </c>
      <c r="G75" s="103" t="s">
        <v>443</v>
      </c>
      <c r="J75" s="103" t="s">
        <v>376</v>
      </c>
    </row>
    <row r="76" spans="4:10">
      <c r="D76" s="103" t="s">
        <v>240</v>
      </c>
      <c r="E76" s="103" t="s">
        <v>443</v>
      </c>
      <c r="F76" s="103" t="s">
        <v>255</v>
      </c>
      <c r="G76" s="103" t="s">
        <v>444</v>
      </c>
      <c r="J76" s="103" t="s">
        <v>377</v>
      </c>
    </row>
    <row r="77" spans="4:10">
      <c r="D77" s="103" t="s">
        <v>241</v>
      </c>
      <c r="E77" s="103" t="s">
        <v>444</v>
      </c>
      <c r="F77" s="103" t="s">
        <v>256</v>
      </c>
      <c r="G77" s="103" t="s">
        <v>445</v>
      </c>
      <c r="J77" s="103" t="s">
        <v>421</v>
      </c>
    </row>
    <row r="78" spans="4:10">
      <c r="D78" s="103" t="s">
        <v>242</v>
      </c>
      <c r="E78" s="103" t="s">
        <v>445</v>
      </c>
      <c r="F78" s="103" t="s">
        <v>257</v>
      </c>
      <c r="G78" s="103" t="s">
        <v>446</v>
      </c>
      <c r="J78" s="103" t="s">
        <v>422</v>
      </c>
    </row>
    <row r="79" spans="4:10">
      <c r="D79" s="103" t="s">
        <v>243</v>
      </c>
      <c r="E79" s="103" t="s">
        <v>446</v>
      </c>
      <c r="F79" s="103" t="s">
        <v>258</v>
      </c>
      <c r="G79" s="103" t="s">
        <v>447</v>
      </c>
    </row>
    <row r="80" spans="4:10">
      <c r="D80" s="103" t="s">
        <v>244</v>
      </c>
      <c r="E80" s="103" t="s">
        <v>447</v>
      </c>
      <c r="F80" s="103" t="s">
        <v>259</v>
      </c>
      <c r="G80" s="103" t="s">
        <v>448</v>
      </c>
    </row>
    <row r="81" spans="4:7">
      <c r="D81" s="103" t="s">
        <v>245</v>
      </c>
      <c r="E81" s="103" t="s">
        <v>448</v>
      </c>
      <c r="F81" s="103" t="s">
        <v>260</v>
      </c>
      <c r="G81" s="103" t="s">
        <v>449</v>
      </c>
    </row>
    <row r="82" spans="4:7">
      <c r="D82" s="103" t="s">
        <v>246</v>
      </c>
      <c r="E82" s="103" t="s">
        <v>449</v>
      </c>
      <c r="F82" s="103" t="s">
        <v>261</v>
      </c>
      <c r="G82" s="103" t="s">
        <v>450</v>
      </c>
    </row>
    <row r="83" spans="4:7">
      <c r="D83" s="103" t="s">
        <v>247</v>
      </c>
      <c r="E83" s="103" t="s">
        <v>450</v>
      </c>
      <c r="F83" s="103" t="s">
        <v>262</v>
      </c>
      <c r="G83" s="103" t="s">
        <v>451</v>
      </c>
    </row>
    <row r="84" spans="4:7">
      <c r="D84" s="103" t="s">
        <v>248</v>
      </c>
      <c r="E84" s="103" t="s">
        <v>451</v>
      </c>
      <c r="F84" s="103" t="s">
        <v>263</v>
      </c>
      <c r="G84" s="103" t="s">
        <v>452</v>
      </c>
    </row>
    <row r="85" spans="4:7">
      <c r="D85" s="103" t="s">
        <v>249</v>
      </c>
      <c r="E85" s="103" t="s">
        <v>452</v>
      </c>
      <c r="F85" s="103" t="s">
        <v>264</v>
      </c>
      <c r="G85" s="103" t="s">
        <v>453</v>
      </c>
    </row>
    <row r="86" spans="4:7">
      <c r="D86" s="103" t="s">
        <v>250</v>
      </c>
      <c r="E86" s="103" t="s">
        <v>453</v>
      </c>
      <c r="F86" s="103" t="s">
        <v>265</v>
      </c>
      <c r="G86" s="103" t="s">
        <v>454</v>
      </c>
    </row>
    <row r="87" spans="4:7">
      <c r="D87" s="103" t="s">
        <v>251</v>
      </c>
      <c r="E87" s="103" t="s">
        <v>454</v>
      </c>
      <c r="F87" s="103" t="s">
        <v>266</v>
      </c>
      <c r="G87" s="103" t="s">
        <v>455</v>
      </c>
    </row>
    <row r="88" spans="4:7">
      <c r="D88" s="103" t="s">
        <v>252</v>
      </c>
      <c r="E88" s="103" t="s">
        <v>455</v>
      </c>
      <c r="F88" s="103" t="s">
        <v>267</v>
      </c>
      <c r="G88" s="103" t="s">
        <v>456</v>
      </c>
    </row>
    <row r="89" spans="4:7">
      <c r="D89" s="103" t="s">
        <v>253</v>
      </c>
      <c r="E89" s="103" t="s">
        <v>456</v>
      </c>
      <c r="F89" s="103" t="s">
        <v>268</v>
      </c>
      <c r="G89" s="103" t="s">
        <v>457</v>
      </c>
    </row>
    <row r="90" spans="4:7">
      <c r="D90" s="103" t="s">
        <v>254</v>
      </c>
      <c r="E90" s="103" t="s">
        <v>457</v>
      </c>
      <c r="F90" s="103" t="s">
        <v>269</v>
      </c>
      <c r="G90" s="103" t="s">
        <v>458</v>
      </c>
    </row>
    <row r="91" spans="4:7">
      <c r="D91" s="103" t="s">
        <v>255</v>
      </c>
      <c r="E91" s="103" t="s">
        <v>458</v>
      </c>
      <c r="F91" s="103" t="s">
        <v>270</v>
      </c>
      <c r="G91" s="103" t="s">
        <v>459</v>
      </c>
    </row>
    <row r="92" spans="4:7">
      <c r="D92" s="103" t="s">
        <v>256</v>
      </c>
      <c r="E92" s="103" t="s">
        <v>459</v>
      </c>
      <c r="F92" s="103" t="s">
        <v>271</v>
      </c>
      <c r="G92" s="103" t="s">
        <v>460</v>
      </c>
    </row>
    <row r="93" spans="4:7">
      <c r="D93" s="103" t="s">
        <v>257</v>
      </c>
      <c r="E93" s="103" t="s">
        <v>460</v>
      </c>
      <c r="F93" s="103" t="s">
        <v>272</v>
      </c>
      <c r="G93" s="103" t="s">
        <v>461</v>
      </c>
    </row>
    <row r="94" spans="4:7">
      <c r="D94" s="103" t="s">
        <v>258</v>
      </c>
      <c r="E94" s="103" t="s">
        <v>461</v>
      </c>
      <c r="F94" s="103" t="s">
        <v>273</v>
      </c>
      <c r="G94" s="103" t="s">
        <v>462</v>
      </c>
    </row>
    <row r="95" spans="4:7">
      <c r="D95" s="103" t="s">
        <v>259</v>
      </c>
      <c r="E95" s="103" t="s">
        <v>462</v>
      </c>
      <c r="F95" s="103" t="s">
        <v>274</v>
      </c>
      <c r="G95" s="103" t="s">
        <v>463</v>
      </c>
    </row>
    <row r="96" spans="4:7">
      <c r="D96" s="103" t="s">
        <v>260</v>
      </c>
      <c r="E96" s="103" t="s">
        <v>463</v>
      </c>
      <c r="F96" s="103" t="s">
        <v>275</v>
      </c>
      <c r="G96" s="103" t="s">
        <v>464</v>
      </c>
    </row>
    <row r="97" spans="4:7">
      <c r="D97" s="103" t="s">
        <v>261</v>
      </c>
      <c r="E97" s="103" t="s">
        <v>464</v>
      </c>
      <c r="F97" s="103" t="s">
        <v>276</v>
      </c>
      <c r="G97" s="103" t="s">
        <v>465</v>
      </c>
    </row>
    <row r="98" spans="4:7">
      <c r="D98" s="103" t="s">
        <v>262</v>
      </c>
      <c r="E98" s="103" t="s">
        <v>465</v>
      </c>
      <c r="F98" s="103" t="s">
        <v>277</v>
      </c>
      <c r="G98" s="103" t="s">
        <v>466</v>
      </c>
    </row>
    <row r="99" spans="4:7">
      <c r="D99" s="103" t="s">
        <v>263</v>
      </c>
      <c r="E99" s="103" t="s">
        <v>466</v>
      </c>
      <c r="F99" s="103" t="s">
        <v>278</v>
      </c>
      <c r="G99" s="103" t="s">
        <v>467</v>
      </c>
    </row>
    <row r="100" spans="4:7">
      <c r="D100" s="103" t="s">
        <v>264</v>
      </c>
      <c r="E100" s="103" t="s">
        <v>467</v>
      </c>
      <c r="F100" s="103" t="s">
        <v>279</v>
      </c>
      <c r="G100" s="103" t="s">
        <v>468</v>
      </c>
    </row>
    <row r="101" spans="4:7">
      <c r="D101" s="103" t="s">
        <v>265</v>
      </c>
      <c r="E101" s="103" t="s">
        <v>468</v>
      </c>
      <c r="F101" s="103" t="s">
        <v>280</v>
      </c>
      <c r="G101" s="103" t="s">
        <v>469</v>
      </c>
    </row>
    <row r="102" spans="4:7">
      <c r="D102" s="103" t="s">
        <v>266</v>
      </c>
      <c r="E102" s="103" t="s">
        <v>469</v>
      </c>
      <c r="F102" s="103" t="s">
        <v>281</v>
      </c>
      <c r="G102" s="103" t="s">
        <v>470</v>
      </c>
    </row>
    <row r="103" spans="4:7">
      <c r="D103" s="103" t="s">
        <v>267</v>
      </c>
      <c r="E103" s="103" t="s">
        <v>470</v>
      </c>
      <c r="F103" s="103" t="s">
        <v>282</v>
      </c>
      <c r="G103" s="103" t="s">
        <v>471</v>
      </c>
    </row>
    <row r="104" spans="4:7">
      <c r="D104" s="103" t="s">
        <v>268</v>
      </c>
      <c r="E104" s="103" t="s">
        <v>471</v>
      </c>
      <c r="F104" s="103" t="s">
        <v>283</v>
      </c>
      <c r="G104" s="103" t="s">
        <v>472</v>
      </c>
    </row>
    <row r="105" spans="4:7">
      <c r="D105" s="103" t="s">
        <v>269</v>
      </c>
      <c r="E105" s="103" t="s">
        <v>472</v>
      </c>
      <c r="F105" s="103" t="s">
        <v>284</v>
      </c>
      <c r="G105" s="103" t="s">
        <v>473</v>
      </c>
    </row>
    <row r="106" spans="4:7">
      <c r="D106" s="103" t="s">
        <v>270</v>
      </c>
      <c r="E106" s="103" t="s">
        <v>473</v>
      </c>
      <c r="F106" s="103" t="s">
        <v>285</v>
      </c>
      <c r="G106" s="103" t="s">
        <v>474</v>
      </c>
    </row>
    <row r="107" spans="4:7">
      <c r="D107" s="103" t="s">
        <v>271</v>
      </c>
      <c r="E107" s="103" t="s">
        <v>474</v>
      </c>
      <c r="F107" s="103" t="s">
        <v>286</v>
      </c>
      <c r="G107" s="103" t="s">
        <v>475</v>
      </c>
    </row>
    <row r="108" spans="4:7">
      <c r="D108" s="103" t="s">
        <v>272</v>
      </c>
      <c r="E108" s="103" t="s">
        <v>475</v>
      </c>
      <c r="F108" s="103" t="s">
        <v>287</v>
      </c>
      <c r="G108" s="103" t="s">
        <v>476</v>
      </c>
    </row>
    <row r="109" spans="4:7">
      <c r="D109" s="103" t="s">
        <v>273</v>
      </c>
      <c r="E109" s="103" t="s">
        <v>476</v>
      </c>
      <c r="F109" s="103" t="s">
        <v>288</v>
      </c>
      <c r="G109" s="103" t="s">
        <v>477</v>
      </c>
    </row>
    <row r="110" spans="4:7">
      <c r="D110" s="103" t="s">
        <v>274</v>
      </c>
      <c r="E110" s="103" t="s">
        <v>477</v>
      </c>
      <c r="F110" s="103" t="s">
        <v>289</v>
      </c>
      <c r="G110" s="103" t="s">
        <v>478</v>
      </c>
    </row>
    <row r="111" spans="4:7">
      <c r="D111" s="103" t="s">
        <v>275</v>
      </c>
      <c r="E111" s="103" t="s">
        <v>478</v>
      </c>
      <c r="F111" s="103" t="s">
        <v>290</v>
      </c>
      <c r="G111" s="103" t="s">
        <v>479</v>
      </c>
    </row>
    <row r="112" spans="4:7">
      <c r="D112" s="103" t="s">
        <v>276</v>
      </c>
      <c r="E112" s="103" t="s">
        <v>479</v>
      </c>
      <c r="F112" s="103" t="s">
        <v>291</v>
      </c>
      <c r="G112" s="103" t="s">
        <v>480</v>
      </c>
    </row>
    <row r="113" spans="4:7">
      <c r="D113" s="103" t="s">
        <v>277</v>
      </c>
      <c r="E113" s="103" t="s">
        <v>480</v>
      </c>
      <c r="F113" s="103" t="s">
        <v>292</v>
      </c>
      <c r="G113" s="103" t="s">
        <v>481</v>
      </c>
    </row>
    <row r="114" spans="4:7">
      <c r="D114" s="103" t="s">
        <v>278</v>
      </c>
      <c r="E114" s="103" t="s">
        <v>481</v>
      </c>
      <c r="F114" s="103" t="s">
        <v>293</v>
      </c>
      <c r="G114" s="103" t="s">
        <v>482</v>
      </c>
    </row>
    <row r="115" spans="4:7">
      <c r="D115" s="103" t="s">
        <v>279</v>
      </c>
      <c r="E115" s="103" t="s">
        <v>482</v>
      </c>
      <c r="F115" s="103" t="s">
        <v>294</v>
      </c>
      <c r="G115" s="103" t="s">
        <v>483</v>
      </c>
    </row>
    <row r="116" spans="4:7">
      <c r="D116" s="103" t="s">
        <v>280</v>
      </c>
      <c r="E116" s="103" t="s">
        <v>483</v>
      </c>
      <c r="F116" s="103" t="s">
        <v>295</v>
      </c>
      <c r="G116" s="103" t="s">
        <v>484</v>
      </c>
    </row>
    <row r="117" spans="4:7">
      <c r="D117" s="103" t="s">
        <v>281</v>
      </c>
      <c r="E117" s="103" t="s">
        <v>484</v>
      </c>
      <c r="F117" s="103" t="s">
        <v>296</v>
      </c>
      <c r="G117" s="103" t="s">
        <v>485</v>
      </c>
    </row>
    <row r="118" spans="4:7">
      <c r="D118" s="103" t="s">
        <v>282</v>
      </c>
      <c r="E118" s="103" t="s">
        <v>485</v>
      </c>
      <c r="F118" s="103" t="s">
        <v>327</v>
      </c>
      <c r="G118" s="103" t="s">
        <v>486</v>
      </c>
    </row>
    <row r="119" spans="4:7">
      <c r="D119" s="103" t="s">
        <v>283</v>
      </c>
      <c r="E119" s="103" t="s">
        <v>486</v>
      </c>
      <c r="F119" s="103" t="s">
        <v>328</v>
      </c>
      <c r="G119" s="103" t="s">
        <v>487</v>
      </c>
    </row>
    <row r="120" spans="4:7">
      <c r="D120" s="103" t="s">
        <v>284</v>
      </c>
      <c r="E120" s="103" t="s">
        <v>487</v>
      </c>
      <c r="F120" s="103" t="s">
        <v>329</v>
      </c>
      <c r="G120" s="103" t="s">
        <v>488</v>
      </c>
    </row>
    <row r="121" spans="4:7">
      <c r="D121" s="103" t="s">
        <v>285</v>
      </c>
      <c r="E121" s="103" t="s">
        <v>488</v>
      </c>
      <c r="F121" s="103" t="s">
        <v>330</v>
      </c>
      <c r="G121" s="103" t="s">
        <v>489</v>
      </c>
    </row>
    <row r="122" spans="4:7">
      <c r="D122" s="103" t="s">
        <v>286</v>
      </c>
      <c r="E122" s="103" t="s">
        <v>489</v>
      </c>
      <c r="F122" s="103" t="s">
        <v>331</v>
      </c>
      <c r="G122" s="103" t="s">
        <v>490</v>
      </c>
    </row>
    <row r="123" spans="4:7">
      <c r="D123" s="103" t="s">
        <v>287</v>
      </c>
      <c r="E123" s="103" t="s">
        <v>490</v>
      </c>
      <c r="F123" s="103" t="s">
        <v>332</v>
      </c>
      <c r="G123" s="103" t="s">
        <v>491</v>
      </c>
    </row>
    <row r="124" spans="4:7">
      <c r="D124" s="103" t="s">
        <v>288</v>
      </c>
      <c r="E124" s="103" t="s">
        <v>491</v>
      </c>
      <c r="F124" s="103" t="s">
        <v>333</v>
      </c>
      <c r="G124" s="103" t="s">
        <v>492</v>
      </c>
    </row>
    <row r="125" spans="4:7">
      <c r="D125" s="103" t="s">
        <v>289</v>
      </c>
      <c r="E125" s="103" t="s">
        <v>492</v>
      </c>
      <c r="F125" s="103" t="s">
        <v>334</v>
      </c>
      <c r="G125" s="103" t="s">
        <v>493</v>
      </c>
    </row>
    <row r="126" spans="4:7">
      <c r="D126" s="103" t="s">
        <v>290</v>
      </c>
      <c r="E126" s="103" t="s">
        <v>493</v>
      </c>
      <c r="F126" s="103" t="s">
        <v>335</v>
      </c>
      <c r="G126" s="103" t="s">
        <v>494</v>
      </c>
    </row>
    <row r="127" spans="4:7">
      <c r="D127" s="103" t="s">
        <v>291</v>
      </c>
      <c r="E127" s="103" t="s">
        <v>494</v>
      </c>
      <c r="F127" s="103" t="s">
        <v>336</v>
      </c>
      <c r="G127" s="103" t="s">
        <v>495</v>
      </c>
    </row>
    <row r="128" spans="4:7">
      <c r="D128" s="103" t="s">
        <v>292</v>
      </c>
      <c r="E128" s="103" t="s">
        <v>495</v>
      </c>
      <c r="F128" s="103" t="s">
        <v>337</v>
      </c>
      <c r="G128" s="103" t="s">
        <v>496</v>
      </c>
    </row>
    <row r="129" spans="4:7">
      <c r="D129" s="103" t="s">
        <v>293</v>
      </c>
      <c r="E129" s="103" t="s">
        <v>496</v>
      </c>
      <c r="F129" s="103" t="s">
        <v>338</v>
      </c>
      <c r="G129" s="103" t="s">
        <v>497</v>
      </c>
    </row>
    <row r="130" spans="4:7">
      <c r="D130" s="103" t="s">
        <v>294</v>
      </c>
      <c r="E130" s="103" t="s">
        <v>497</v>
      </c>
      <c r="F130" s="103" t="s">
        <v>339</v>
      </c>
      <c r="G130" s="103" t="s">
        <v>498</v>
      </c>
    </row>
    <row r="131" spans="4:7">
      <c r="D131" s="103" t="s">
        <v>295</v>
      </c>
      <c r="E131" s="103" t="s">
        <v>498</v>
      </c>
      <c r="F131" s="103" t="s">
        <v>340</v>
      </c>
      <c r="G131" s="103" t="s">
        <v>499</v>
      </c>
    </row>
    <row r="132" spans="4:7">
      <c r="D132" s="103" t="s">
        <v>296</v>
      </c>
      <c r="E132" s="103" t="s">
        <v>499</v>
      </c>
      <c r="F132" s="103" t="s">
        <v>341</v>
      </c>
      <c r="G132" s="103" t="s">
        <v>500</v>
      </c>
    </row>
    <row r="133" spans="4:7">
      <c r="D133" s="103" t="s">
        <v>327</v>
      </c>
      <c r="E133" s="103" t="s">
        <v>500</v>
      </c>
      <c r="F133" s="103" t="s">
        <v>342</v>
      </c>
      <c r="G133" s="103" t="s">
        <v>501</v>
      </c>
    </row>
    <row r="134" spans="4:7">
      <c r="D134" s="103" t="s">
        <v>328</v>
      </c>
      <c r="E134" s="103" t="s">
        <v>501</v>
      </c>
      <c r="F134" s="103" t="s">
        <v>343</v>
      </c>
      <c r="G134" s="103" t="s">
        <v>502</v>
      </c>
    </row>
    <row r="135" spans="4:7">
      <c r="D135" s="103" t="s">
        <v>329</v>
      </c>
      <c r="E135" s="103" t="s">
        <v>502</v>
      </c>
      <c r="F135" s="103" t="s">
        <v>344</v>
      </c>
      <c r="G135" s="103" t="s">
        <v>503</v>
      </c>
    </row>
    <row r="136" spans="4:7">
      <c r="D136" s="103" t="s">
        <v>330</v>
      </c>
      <c r="E136" s="103" t="s">
        <v>503</v>
      </c>
      <c r="F136" s="103" t="s">
        <v>345</v>
      </c>
      <c r="G136" s="103" t="s">
        <v>504</v>
      </c>
    </row>
    <row r="137" spans="4:7">
      <c r="D137" s="103" t="s">
        <v>331</v>
      </c>
      <c r="E137" s="103" t="s">
        <v>504</v>
      </c>
      <c r="F137" s="103" t="s">
        <v>346</v>
      </c>
      <c r="G137" s="103" t="s">
        <v>505</v>
      </c>
    </row>
    <row r="138" spans="4:7">
      <c r="D138" s="103" t="s">
        <v>332</v>
      </c>
      <c r="E138" s="103" t="s">
        <v>505</v>
      </c>
      <c r="F138" s="103" t="s">
        <v>347</v>
      </c>
      <c r="G138" s="103" t="s">
        <v>506</v>
      </c>
    </row>
    <row r="139" spans="4:7">
      <c r="D139" s="103" t="s">
        <v>333</v>
      </c>
      <c r="E139" s="103" t="s">
        <v>506</v>
      </c>
      <c r="F139" s="103" t="s">
        <v>348</v>
      </c>
      <c r="G139" s="103" t="s">
        <v>507</v>
      </c>
    </row>
    <row r="140" spans="4:7">
      <c r="D140" s="103" t="s">
        <v>334</v>
      </c>
      <c r="E140" s="103" t="s">
        <v>507</v>
      </c>
      <c r="F140" s="103" t="s">
        <v>349</v>
      </c>
      <c r="G140" s="103" t="s">
        <v>508</v>
      </c>
    </row>
    <row r="141" spans="4:7">
      <c r="D141" s="103" t="s">
        <v>335</v>
      </c>
      <c r="E141" s="103" t="s">
        <v>508</v>
      </c>
      <c r="F141" s="103" t="s">
        <v>350</v>
      </c>
      <c r="G141" s="103" t="s">
        <v>509</v>
      </c>
    </row>
    <row r="142" spans="4:7">
      <c r="D142" s="103" t="s">
        <v>336</v>
      </c>
      <c r="E142" s="103" t="s">
        <v>509</v>
      </c>
      <c r="F142" s="103" t="s">
        <v>351</v>
      </c>
      <c r="G142" s="103" t="s">
        <v>510</v>
      </c>
    </row>
    <row r="143" spans="4:7">
      <c r="D143" s="103" t="s">
        <v>337</v>
      </c>
      <c r="E143" s="103" t="s">
        <v>510</v>
      </c>
      <c r="F143" s="103" t="s">
        <v>352</v>
      </c>
      <c r="G143" s="103" t="s">
        <v>511</v>
      </c>
    </row>
    <row r="144" spans="4:7">
      <c r="D144" s="103" t="s">
        <v>338</v>
      </c>
      <c r="E144" s="103" t="s">
        <v>511</v>
      </c>
      <c r="F144" s="103" t="s">
        <v>353</v>
      </c>
      <c r="G144" s="103" t="s">
        <v>512</v>
      </c>
    </row>
    <row r="145" spans="4:7">
      <c r="D145" s="103" t="s">
        <v>339</v>
      </c>
      <c r="E145" s="103" t="s">
        <v>512</v>
      </c>
      <c r="F145" s="103" t="s">
        <v>354</v>
      </c>
      <c r="G145" s="103" t="s">
        <v>513</v>
      </c>
    </row>
    <row r="146" spans="4:7">
      <c r="D146" s="103" t="s">
        <v>340</v>
      </c>
      <c r="E146" s="103" t="s">
        <v>513</v>
      </c>
      <c r="F146" s="103" t="s">
        <v>355</v>
      </c>
      <c r="G146" s="103" t="s">
        <v>514</v>
      </c>
    </row>
    <row r="147" spans="4:7">
      <c r="D147" s="103" t="s">
        <v>341</v>
      </c>
      <c r="E147" s="103" t="s">
        <v>514</v>
      </c>
      <c r="F147" s="103" t="s">
        <v>356</v>
      </c>
      <c r="G147" s="103" t="s">
        <v>515</v>
      </c>
    </row>
    <row r="148" spans="4:7">
      <c r="D148" s="103" t="s">
        <v>342</v>
      </c>
      <c r="E148" s="103" t="s">
        <v>515</v>
      </c>
      <c r="F148" s="101" t="s">
        <v>966</v>
      </c>
      <c r="G148" s="103" t="s">
        <v>516</v>
      </c>
    </row>
    <row r="149" spans="4:7">
      <c r="D149" s="103" t="s">
        <v>343</v>
      </c>
      <c r="E149" s="103" t="s">
        <v>516</v>
      </c>
      <c r="F149" s="101" t="s">
        <v>968</v>
      </c>
      <c r="G149" s="103" t="s">
        <v>517</v>
      </c>
    </row>
    <row r="150" spans="4:7">
      <c r="D150" s="103" t="s">
        <v>344</v>
      </c>
      <c r="E150" s="103" t="s">
        <v>517</v>
      </c>
      <c r="F150" s="101" t="s">
        <v>969</v>
      </c>
      <c r="G150" s="103" t="s">
        <v>518</v>
      </c>
    </row>
    <row r="151" spans="4:7">
      <c r="D151" s="103" t="s">
        <v>345</v>
      </c>
      <c r="E151" s="103" t="s">
        <v>518</v>
      </c>
      <c r="F151" s="101" t="s">
        <v>970</v>
      </c>
      <c r="G151" s="103" t="s">
        <v>519</v>
      </c>
    </row>
    <row r="152" spans="4:7">
      <c r="D152" s="103" t="s">
        <v>346</v>
      </c>
      <c r="E152" s="103" t="s">
        <v>519</v>
      </c>
      <c r="F152" s="101" t="s">
        <v>971</v>
      </c>
      <c r="G152" s="103" t="s">
        <v>520</v>
      </c>
    </row>
    <row r="153" spans="4:7">
      <c r="D153" s="103" t="s">
        <v>347</v>
      </c>
      <c r="E153" s="103" t="s">
        <v>520</v>
      </c>
      <c r="F153" s="101" t="s">
        <v>972</v>
      </c>
      <c r="G153" s="103" t="s">
        <v>521</v>
      </c>
    </row>
    <row r="154" spans="4:7">
      <c r="D154" s="103" t="s">
        <v>348</v>
      </c>
      <c r="E154" s="103" t="s">
        <v>521</v>
      </c>
      <c r="F154" s="101" t="s">
        <v>973</v>
      </c>
      <c r="G154" s="103" t="s">
        <v>522</v>
      </c>
    </row>
    <row r="155" spans="4:7">
      <c r="D155" s="103" t="s">
        <v>349</v>
      </c>
      <c r="E155" s="103" t="s">
        <v>522</v>
      </c>
      <c r="F155" s="101" t="s">
        <v>974</v>
      </c>
      <c r="G155" s="103" t="s">
        <v>523</v>
      </c>
    </row>
    <row r="156" spans="4:7">
      <c r="D156" s="103" t="s">
        <v>350</v>
      </c>
      <c r="E156" s="103" t="s">
        <v>523</v>
      </c>
      <c r="F156" s="101" t="s">
        <v>975</v>
      </c>
      <c r="G156" s="103" t="s">
        <v>524</v>
      </c>
    </row>
    <row r="157" spans="4:7">
      <c r="D157" s="103" t="s">
        <v>351</v>
      </c>
      <c r="E157" s="103" t="s">
        <v>524</v>
      </c>
      <c r="F157" s="101" t="s">
        <v>976</v>
      </c>
      <c r="G157" s="103" t="s">
        <v>525</v>
      </c>
    </row>
    <row r="158" spans="4:7">
      <c r="D158" s="103" t="s">
        <v>352</v>
      </c>
      <c r="E158" s="103" t="s">
        <v>525</v>
      </c>
      <c r="F158" s="101" t="s">
        <v>977</v>
      </c>
      <c r="G158" s="103" t="s">
        <v>526</v>
      </c>
    </row>
    <row r="159" spans="4:7">
      <c r="D159" s="103" t="s">
        <v>353</v>
      </c>
      <c r="E159" s="103" t="s">
        <v>526</v>
      </c>
      <c r="F159" s="101" t="s">
        <v>978</v>
      </c>
      <c r="G159" s="103" t="s">
        <v>527</v>
      </c>
    </row>
    <row r="160" spans="4:7">
      <c r="D160" s="103" t="s">
        <v>354</v>
      </c>
      <c r="E160" s="103" t="s">
        <v>527</v>
      </c>
      <c r="F160" s="101" t="s">
        <v>979</v>
      </c>
      <c r="G160" s="103" t="s">
        <v>528</v>
      </c>
    </row>
    <row r="161" spans="4:7">
      <c r="D161" s="103" t="s">
        <v>355</v>
      </c>
      <c r="E161" s="103" t="s">
        <v>528</v>
      </c>
      <c r="F161" s="101" t="s">
        <v>980</v>
      </c>
      <c r="G161" s="103" t="s">
        <v>529</v>
      </c>
    </row>
    <row r="162" spans="4:7">
      <c r="D162" s="103" t="s">
        <v>356</v>
      </c>
      <c r="E162" s="103" t="s">
        <v>529</v>
      </c>
      <c r="F162" s="101" t="s">
        <v>981</v>
      </c>
      <c r="G162" s="103" t="s">
        <v>530</v>
      </c>
    </row>
    <row r="163" spans="4:7">
      <c r="D163" s="101" t="s">
        <v>966</v>
      </c>
      <c r="E163" s="103" t="s">
        <v>530</v>
      </c>
      <c r="F163" s="101" t="s">
        <v>982</v>
      </c>
      <c r="G163" s="103" t="s">
        <v>531</v>
      </c>
    </row>
    <row r="164" spans="4:7">
      <c r="D164" s="101" t="s">
        <v>968</v>
      </c>
      <c r="E164" s="103" t="s">
        <v>531</v>
      </c>
      <c r="F164" s="101" t="s">
        <v>983</v>
      </c>
      <c r="G164" s="103" t="s">
        <v>532</v>
      </c>
    </row>
    <row r="165" spans="4:7">
      <c r="D165" s="101" t="s">
        <v>969</v>
      </c>
      <c r="E165" s="103" t="s">
        <v>532</v>
      </c>
      <c r="F165" s="101" t="s">
        <v>984</v>
      </c>
      <c r="G165" s="103" t="s">
        <v>533</v>
      </c>
    </row>
    <row r="166" spans="4:7">
      <c r="D166" s="101" t="s">
        <v>970</v>
      </c>
      <c r="E166" s="103" t="s">
        <v>533</v>
      </c>
      <c r="F166" s="101" t="s">
        <v>985</v>
      </c>
      <c r="G166" s="103" t="s">
        <v>534</v>
      </c>
    </row>
    <row r="167" spans="4:7">
      <c r="D167" s="101" t="s">
        <v>971</v>
      </c>
      <c r="E167" s="103" t="s">
        <v>534</v>
      </c>
      <c r="F167" s="101" t="s">
        <v>986</v>
      </c>
      <c r="G167" s="103" t="s">
        <v>535</v>
      </c>
    </row>
    <row r="168" spans="4:7">
      <c r="D168" s="101" t="s">
        <v>972</v>
      </c>
      <c r="E168" s="103" t="s">
        <v>535</v>
      </c>
      <c r="F168" s="101" t="s">
        <v>987</v>
      </c>
      <c r="G168" s="103" t="s">
        <v>536</v>
      </c>
    </row>
    <row r="169" spans="4:7">
      <c r="D169" s="101" t="s">
        <v>973</v>
      </c>
      <c r="E169" s="103" t="s">
        <v>536</v>
      </c>
      <c r="F169" s="101" t="s">
        <v>988</v>
      </c>
      <c r="G169" s="105" t="s">
        <v>297</v>
      </c>
    </row>
    <row r="170" spans="4:7">
      <c r="D170" s="101" t="s">
        <v>974</v>
      </c>
      <c r="E170" s="105" t="s">
        <v>297</v>
      </c>
      <c r="F170" s="101" t="s">
        <v>989</v>
      </c>
      <c r="G170" s="105" t="s">
        <v>298</v>
      </c>
    </row>
    <row r="171" spans="4:7">
      <c r="D171" s="101" t="s">
        <v>975</v>
      </c>
      <c r="E171" s="105" t="s">
        <v>298</v>
      </c>
      <c r="F171" s="101" t="s">
        <v>990</v>
      </c>
      <c r="G171" s="105" t="s">
        <v>299</v>
      </c>
    </row>
    <row r="172" spans="4:7">
      <c r="D172" s="101" t="s">
        <v>976</v>
      </c>
      <c r="E172" s="105" t="s">
        <v>299</v>
      </c>
      <c r="F172" s="101" t="s">
        <v>991</v>
      </c>
      <c r="G172" s="105" t="s">
        <v>300</v>
      </c>
    </row>
    <row r="173" spans="4:7">
      <c r="D173" s="101" t="s">
        <v>977</v>
      </c>
      <c r="E173" s="105" t="s">
        <v>300</v>
      </c>
      <c r="F173" s="101" t="s">
        <v>992</v>
      </c>
      <c r="G173" s="105" t="s">
        <v>301</v>
      </c>
    </row>
    <row r="174" spans="4:7">
      <c r="D174" s="101" t="s">
        <v>978</v>
      </c>
      <c r="E174" s="105" t="s">
        <v>301</v>
      </c>
      <c r="F174" s="101" t="s">
        <v>993</v>
      </c>
      <c r="G174" s="105" t="s">
        <v>302</v>
      </c>
    </row>
    <row r="175" spans="4:7">
      <c r="D175" s="101" t="s">
        <v>979</v>
      </c>
      <c r="E175" s="105" t="s">
        <v>302</v>
      </c>
      <c r="F175" s="101" t="s">
        <v>994</v>
      </c>
      <c r="G175" s="105" t="s">
        <v>303</v>
      </c>
    </row>
    <row r="176" spans="4:7">
      <c r="D176" s="101" t="s">
        <v>980</v>
      </c>
      <c r="E176" s="105" t="s">
        <v>303</v>
      </c>
      <c r="F176" s="101" t="s">
        <v>995</v>
      </c>
      <c r="G176" s="105" t="s">
        <v>304</v>
      </c>
    </row>
    <row r="177" spans="4:7">
      <c r="D177" s="101" t="s">
        <v>981</v>
      </c>
      <c r="E177" s="105" t="s">
        <v>304</v>
      </c>
      <c r="F177" s="101" t="s">
        <v>996</v>
      </c>
      <c r="G177" s="105" t="s">
        <v>305</v>
      </c>
    </row>
    <row r="178" spans="4:7">
      <c r="D178" s="101" t="s">
        <v>982</v>
      </c>
      <c r="E178" s="105" t="s">
        <v>305</v>
      </c>
      <c r="F178" s="103" t="s">
        <v>967</v>
      </c>
      <c r="G178" s="105" t="s">
        <v>306</v>
      </c>
    </row>
    <row r="179" spans="4:7">
      <c r="D179" s="101" t="s">
        <v>983</v>
      </c>
      <c r="E179" s="105" t="s">
        <v>306</v>
      </c>
      <c r="F179" s="103" t="s">
        <v>997</v>
      </c>
      <c r="G179" s="105" t="s">
        <v>307</v>
      </c>
    </row>
    <row r="180" spans="4:7">
      <c r="D180" s="101" t="s">
        <v>984</v>
      </c>
      <c r="E180" s="105" t="s">
        <v>307</v>
      </c>
      <c r="F180" s="103" t="s">
        <v>998</v>
      </c>
      <c r="G180" s="105" t="s">
        <v>308</v>
      </c>
    </row>
    <row r="181" spans="4:7">
      <c r="D181" s="101" t="s">
        <v>985</v>
      </c>
      <c r="E181" s="105" t="s">
        <v>308</v>
      </c>
      <c r="F181" s="103" t="s">
        <v>999</v>
      </c>
      <c r="G181" s="105" t="s">
        <v>309</v>
      </c>
    </row>
    <row r="182" spans="4:7">
      <c r="D182" s="101" t="s">
        <v>986</v>
      </c>
      <c r="E182" s="105" t="s">
        <v>309</v>
      </c>
      <c r="F182" s="103" t="s">
        <v>1000</v>
      </c>
      <c r="G182" s="105" t="s">
        <v>310</v>
      </c>
    </row>
    <row r="183" spans="4:7">
      <c r="D183" s="101" t="s">
        <v>987</v>
      </c>
      <c r="E183" s="105" t="s">
        <v>310</v>
      </c>
      <c r="F183" s="103" t="s">
        <v>1001</v>
      </c>
      <c r="G183" s="105" t="s">
        <v>311</v>
      </c>
    </row>
    <row r="184" spans="4:7">
      <c r="D184" s="101" t="s">
        <v>988</v>
      </c>
      <c r="E184" s="105" t="s">
        <v>311</v>
      </c>
      <c r="F184" s="103" t="s">
        <v>1002</v>
      </c>
      <c r="G184" s="105" t="s">
        <v>312</v>
      </c>
    </row>
    <row r="185" spans="4:7">
      <c r="D185" s="101" t="s">
        <v>989</v>
      </c>
      <c r="E185" s="105" t="s">
        <v>312</v>
      </c>
      <c r="F185" s="103" t="s">
        <v>1003</v>
      </c>
      <c r="G185" s="105" t="s">
        <v>313</v>
      </c>
    </row>
    <row r="186" spans="4:7">
      <c r="D186" s="101" t="s">
        <v>990</v>
      </c>
      <c r="E186" s="105" t="s">
        <v>313</v>
      </c>
      <c r="F186" s="103" t="s">
        <v>1004</v>
      </c>
      <c r="G186" s="105" t="s">
        <v>314</v>
      </c>
    </row>
    <row r="187" spans="4:7">
      <c r="D187" s="101" t="s">
        <v>991</v>
      </c>
      <c r="E187" s="105" t="s">
        <v>314</v>
      </c>
      <c r="F187" s="103" t="s">
        <v>1005</v>
      </c>
      <c r="G187" s="105" t="s">
        <v>315</v>
      </c>
    </row>
    <row r="188" spans="4:7">
      <c r="D188" s="101" t="s">
        <v>992</v>
      </c>
      <c r="E188" s="105" t="s">
        <v>315</v>
      </c>
      <c r="F188" s="103" t="s">
        <v>1006</v>
      </c>
      <c r="G188" s="105" t="s">
        <v>316</v>
      </c>
    </row>
    <row r="189" spans="4:7">
      <c r="D189" s="101" t="s">
        <v>993</v>
      </c>
      <c r="E189" s="105" t="s">
        <v>316</v>
      </c>
      <c r="F189" s="103" t="s">
        <v>1007</v>
      </c>
      <c r="G189" s="105" t="s">
        <v>317</v>
      </c>
    </row>
    <row r="190" spans="4:7">
      <c r="D190" s="101" t="s">
        <v>994</v>
      </c>
      <c r="E190" s="105" t="s">
        <v>317</v>
      </c>
      <c r="F190" s="103" t="s">
        <v>1008</v>
      </c>
      <c r="G190" s="105" t="s">
        <v>318</v>
      </c>
    </row>
    <row r="191" spans="4:7">
      <c r="D191" s="101" t="s">
        <v>995</v>
      </c>
      <c r="E191" s="105" t="s">
        <v>318</v>
      </c>
      <c r="F191" s="103" t="s">
        <v>1009</v>
      </c>
      <c r="G191" s="105" t="s">
        <v>319</v>
      </c>
    </row>
    <row r="192" spans="4:7">
      <c r="D192" s="101" t="s">
        <v>996</v>
      </c>
      <c r="F192" s="103" t="s">
        <v>1010</v>
      </c>
      <c r="G192" s="105" t="s">
        <v>320</v>
      </c>
    </row>
    <row r="193" spans="4:7">
      <c r="D193" s="103" t="s">
        <v>967</v>
      </c>
      <c r="F193" s="103" t="s">
        <v>1011</v>
      </c>
      <c r="G193" s="105" t="s">
        <v>321</v>
      </c>
    </row>
    <row r="194" spans="4:7">
      <c r="D194" s="103" t="s">
        <v>997</v>
      </c>
      <c r="F194" s="103" t="s">
        <v>1012</v>
      </c>
      <c r="G194" s="105" t="s">
        <v>322</v>
      </c>
    </row>
    <row r="195" spans="4:7">
      <c r="D195" s="103" t="s">
        <v>998</v>
      </c>
      <c r="F195" s="103" t="s">
        <v>1013</v>
      </c>
      <c r="G195" s="105" t="s">
        <v>323</v>
      </c>
    </row>
    <row r="196" spans="4:7">
      <c r="D196" s="103" t="s">
        <v>999</v>
      </c>
      <c r="F196" s="103" t="s">
        <v>1014</v>
      </c>
      <c r="G196" s="105" t="s">
        <v>324</v>
      </c>
    </row>
    <row r="197" spans="4:7">
      <c r="D197" s="103" t="s">
        <v>1000</v>
      </c>
      <c r="F197" s="103" t="s">
        <v>1015</v>
      </c>
      <c r="G197" s="105" t="s">
        <v>325</v>
      </c>
    </row>
    <row r="198" spans="4:7">
      <c r="D198" s="103" t="s">
        <v>1001</v>
      </c>
      <c r="F198" s="103" t="s">
        <v>1016</v>
      </c>
      <c r="G198" s="105" t="s">
        <v>326</v>
      </c>
    </row>
    <row r="199" spans="4:7">
      <c r="D199" s="103" t="s">
        <v>1002</v>
      </c>
      <c r="F199" s="103" t="s">
        <v>1017</v>
      </c>
      <c r="G199" s="103" t="s">
        <v>178</v>
      </c>
    </row>
    <row r="200" spans="4:7">
      <c r="D200" s="103" t="s">
        <v>1003</v>
      </c>
      <c r="F200" s="103" t="s">
        <v>1018</v>
      </c>
      <c r="G200" s="103" t="s">
        <v>179</v>
      </c>
    </row>
    <row r="201" spans="4:7">
      <c r="D201" s="103" t="s">
        <v>1004</v>
      </c>
      <c r="F201" s="103" t="s">
        <v>1019</v>
      </c>
      <c r="G201" s="103" t="s">
        <v>180</v>
      </c>
    </row>
    <row r="202" spans="4:7">
      <c r="D202" s="103" t="s">
        <v>1005</v>
      </c>
      <c r="F202" s="103" t="s">
        <v>1020</v>
      </c>
      <c r="G202" s="103" t="s">
        <v>181</v>
      </c>
    </row>
    <row r="203" spans="4:7">
      <c r="D203" s="103" t="s">
        <v>1006</v>
      </c>
      <c r="F203" s="103" t="s">
        <v>1021</v>
      </c>
      <c r="G203" s="103" t="s">
        <v>182</v>
      </c>
    </row>
    <row r="204" spans="4:7">
      <c r="D204" s="103" t="s">
        <v>1007</v>
      </c>
      <c r="F204" s="103" t="s">
        <v>1022</v>
      </c>
      <c r="G204" s="103" t="s">
        <v>183</v>
      </c>
    </row>
    <row r="205" spans="4:7">
      <c r="D205" s="103" t="s">
        <v>1008</v>
      </c>
      <c r="F205" s="103" t="s">
        <v>1023</v>
      </c>
      <c r="G205" s="103"/>
    </row>
    <row r="206" spans="4:7">
      <c r="D206" s="103" t="s">
        <v>1009</v>
      </c>
      <c r="F206" s="103" t="s">
        <v>1024</v>
      </c>
    </row>
    <row r="207" spans="4:7">
      <c r="D207" s="103" t="s">
        <v>1010</v>
      </c>
      <c r="F207" s="103" t="s">
        <v>1025</v>
      </c>
    </row>
    <row r="208" spans="4:7">
      <c r="D208" s="103" t="s">
        <v>1011</v>
      </c>
      <c r="F208" s="103" t="s">
        <v>357</v>
      </c>
    </row>
    <row r="209" spans="4:6">
      <c r="D209" s="103" t="s">
        <v>1012</v>
      </c>
      <c r="F209" s="103" t="s">
        <v>358</v>
      </c>
    </row>
    <row r="210" spans="4:6">
      <c r="D210" s="103" t="s">
        <v>1013</v>
      </c>
      <c r="F210" s="103" t="s">
        <v>359</v>
      </c>
    </row>
    <row r="211" spans="4:6">
      <c r="D211" s="103" t="s">
        <v>1014</v>
      </c>
      <c r="F211" s="103" t="s">
        <v>360</v>
      </c>
    </row>
    <row r="212" spans="4:6">
      <c r="D212" s="103" t="s">
        <v>1015</v>
      </c>
      <c r="F212" s="103" t="s">
        <v>361</v>
      </c>
    </row>
    <row r="213" spans="4:6">
      <c r="D213" s="103" t="s">
        <v>1016</v>
      </c>
      <c r="F213" s="103" t="s">
        <v>362</v>
      </c>
    </row>
    <row r="214" spans="4:6">
      <c r="D214" s="103" t="s">
        <v>1017</v>
      </c>
      <c r="F214" s="103" t="s">
        <v>363</v>
      </c>
    </row>
    <row r="215" spans="4:6">
      <c r="D215" s="103" t="s">
        <v>1018</v>
      </c>
      <c r="F215" s="103" t="s">
        <v>364</v>
      </c>
    </row>
    <row r="216" spans="4:6">
      <c r="D216" s="103" t="s">
        <v>1019</v>
      </c>
      <c r="F216" s="103" t="s">
        <v>365</v>
      </c>
    </row>
    <row r="217" spans="4:6">
      <c r="D217" s="103" t="s">
        <v>1020</v>
      </c>
      <c r="F217" s="103" t="s">
        <v>366</v>
      </c>
    </row>
    <row r="218" spans="4:6">
      <c r="D218" s="103" t="s">
        <v>1021</v>
      </c>
      <c r="F218" s="103" t="s">
        <v>367</v>
      </c>
    </row>
    <row r="219" spans="4:6">
      <c r="D219" s="103" t="s">
        <v>1022</v>
      </c>
      <c r="F219" s="103" t="s">
        <v>368</v>
      </c>
    </row>
    <row r="220" spans="4:6">
      <c r="D220" s="103" t="s">
        <v>1023</v>
      </c>
      <c r="F220" s="103" t="s">
        <v>369</v>
      </c>
    </row>
    <row r="221" spans="4:6">
      <c r="D221" s="103" t="s">
        <v>1024</v>
      </c>
      <c r="F221" s="103" t="s">
        <v>370</v>
      </c>
    </row>
    <row r="222" spans="4:6">
      <c r="D222" s="103" t="s">
        <v>1025</v>
      </c>
      <c r="F222" s="103" t="s">
        <v>371</v>
      </c>
    </row>
    <row r="223" spans="4:6">
      <c r="D223" s="103" t="s">
        <v>357</v>
      </c>
    </row>
    <row r="224" spans="4:6">
      <c r="D224" s="103" t="s">
        <v>358</v>
      </c>
    </row>
    <row r="225" spans="4:4">
      <c r="D225" s="103" t="s">
        <v>359</v>
      </c>
    </row>
    <row r="226" spans="4:4">
      <c r="D226" s="103" t="s">
        <v>360</v>
      </c>
    </row>
    <row r="227" spans="4:4">
      <c r="D227" s="103" t="s">
        <v>361</v>
      </c>
    </row>
    <row r="228" spans="4:4">
      <c r="D228" s="103" t="s">
        <v>362</v>
      </c>
    </row>
    <row r="229" spans="4:4">
      <c r="D229" s="103" t="s">
        <v>363</v>
      </c>
    </row>
    <row r="230" spans="4:4">
      <c r="D230" s="103" t="s">
        <v>364</v>
      </c>
    </row>
    <row r="231" spans="4:4">
      <c r="D231" s="103" t="s">
        <v>365</v>
      </c>
    </row>
    <row r="232" spans="4:4">
      <c r="D232" s="103" t="s">
        <v>366</v>
      </c>
    </row>
    <row r="233" spans="4:4">
      <c r="D233" s="103" t="s">
        <v>367</v>
      </c>
    </row>
    <row r="234" spans="4:4">
      <c r="D234" s="103" t="s">
        <v>368</v>
      </c>
    </row>
    <row r="235" spans="4:4">
      <c r="D235" s="103" t="s">
        <v>369</v>
      </c>
    </row>
    <row r="236" spans="4:4">
      <c r="D236" s="103" t="s">
        <v>370</v>
      </c>
    </row>
    <row r="237" spans="4:4">
      <c r="D237" s="103" t="s">
        <v>371</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גליונות עבודה</vt:lpstr>
      </vt:variant>
      <vt:variant>
        <vt:i4>6</vt:i4>
      </vt:variant>
      <vt:variant>
        <vt:lpstr>טווחים בעלי שם</vt:lpstr>
      </vt:variant>
      <vt:variant>
        <vt:i4>2</vt:i4>
      </vt:variant>
    </vt:vector>
  </HeadingPairs>
  <TitlesOfParts>
    <vt:vector size="8" baseType="lpstr">
      <vt:lpstr>ממיר תאריך עברי ללועזי</vt:lpstr>
      <vt:lpstr>גיליון1</vt:lpstr>
      <vt:lpstr>גיליון2</vt:lpstr>
      <vt:lpstr>גיליון3</vt:lpstr>
      <vt:lpstr>Holidays</vt:lpstr>
      <vt:lpstr>גיליון4</vt:lpstr>
      <vt:lpstr>HebMonths</vt:lpstr>
      <vt:lpstr>גיליון1!todaytimes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dc:creator>
  <cp:lastModifiedBy>family</cp:lastModifiedBy>
  <dcterms:created xsi:type="dcterms:W3CDTF">2008-01-16T09:04:13Z</dcterms:created>
  <dcterms:modified xsi:type="dcterms:W3CDTF">2018-05-11T05:46:51Z</dcterms:modified>
</cp:coreProperties>
</file>