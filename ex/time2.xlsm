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1_{B0245DE5-46A7-4EEB-B845-826FF36461BE}" xr6:coauthVersionLast="43" xr6:coauthVersionMax="43" xr10:uidLastSave="{00000000-0000-0000-0000-000000000000}"/>
  <bookViews>
    <workbookView xWindow="-120" yWindow="-120" windowWidth="20730" windowHeight="11160"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גיליון1!$A$1:$B$90</definedName>
  </definedNames>
  <calcPr calcId="191029"/>
</workbook>
</file>

<file path=xl/calcChain.xml><?xml version="1.0" encoding="utf-8"?>
<calcChain xmlns="http://schemas.openxmlformats.org/spreadsheetml/2006/main">
  <c r="O3" i="8" l="1"/>
  <c r="O10" i="8" s="1"/>
  <c r="P10" i="8" s="1"/>
  <c r="O7" i="8" l="1"/>
  <c r="O11" i="8"/>
  <c r="P11" i="8" s="1"/>
  <c r="O4" i="8"/>
  <c r="O5" i="8"/>
  <c r="P5" i="8" s="1"/>
  <c r="O6" i="8"/>
  <c r="P6" i="8" s="1"/>
  <c r="O8" i="8"/>
  <c r="P8" i="8" s="1"/>
  <c r="O9" i="8"/>
  <c r="P9" i="8" s="1"/>
  <c r="I2" i="8"/>
  <c r="P14" i="8" l="1"/>
  <c r="P7" i="8"/>
  <c r="O16" i="8"/>
  <c r="P4" i="8"/>
  <c r="L3" i="4"/>
  <c r="O14" i="8" l="1"/>
  <c r="O13" i="8"/>
  <c r="A5" i="6"/>
  <c r="A6" i="6"/>
  <c r="O15" i="8" l="1"/>
  <c r="F6" i="6"/>
  <c r="F5" i="6"/>
  <c r="F4" i="6"/>
  <c r="F3" i="6"/>
  <c r="H2" i="8" l="1"/>
  <c r="T19" i="10" l="1"/>
  <c r="T23" i="10"/>
  <c r="T22" i="10"/>
  <c r="T20" i="10"/>
  <c r="C14" i="7" l="1"/>
  <c r="J2" i="8" l="1"/>
  <c r="S9" i="10" l="1"/>
  <c r="S3" i="10"/>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I5" i="8" l="1"/>
  <c r="A10" i="6" s="1"/>
  <c r="J15" i="8"/>
  <c r="B19" i="6" s="1"/>
  <c r="B40" i="6" s="1"/>
  <c r="I22" i="8"/>
  <c r="H6" i="7" l="1"/>
  <c r="H6" i="10"/>
  <c r="H11" i="8"/>
  <c r="A31" i="6"/>
  <c r="H5" i="10"/>
  <c r="H12" i="8"/>
  <c r="H13" i="8"/>
  <c r="H7" i="10"/>
  <c r="H4" i="10"/>
  <c r="I4" i="8" l="1"/>
  <c r="H2" i="10"/>
  <c r="O13" i="10" s="1"/>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<sst xmlns="http://schemas.openxmlformats.org/spreadsheetml/2006/main" count="3087" uniqueCount="1073">
  <si>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</si>
  <si>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</si>
  <si>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</si>
  <si>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</si>
  <si>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</si>
  <si>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</si>
  <si>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</si>
  <si>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</si>
  <si>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</si>
  <si>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</si>
  <si>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</si>
  <si>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</si>
  <si>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</si>
  <si>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</si>
  <si>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</si>
  <si>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</si>
  <si>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</si>
  <si>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</si>
  <si>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</si>
  <si>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</si>
  <si>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</si>
  <si>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</si>
  <si>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</si>
  <si>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</si>
  <si>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</si>
  <si>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</si>
  <si>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</si>
  <si>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</si>
  <si>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</si>
  <si>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</si>
  <si>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</si>
  <si>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</si>
  <si>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</si>
  <si>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</si>
  <si>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</si>
  <si>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</si>
  <si>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</si>
  <si>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</si>
  <si>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</si>
  <si>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</si>
  <si>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</si>
  <si>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</si>
  <si>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</si>
  <si>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</si>
  <si>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</si>
  <si>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</si>
  <si>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</si>
  <si>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</si>
  <si>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</si>
  <si>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</si>
  <si>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</si>
  <si>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</si>
  <si>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</si>
  <si>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</si>
  <si>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</si>
  <si>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</si>
  <si>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</si>
  <si>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</si>
  <si>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</si>
  <si>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</si>
  <si>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</si>
  <si>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</si>
  <si>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</si>
  <si>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</si>
  <si>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</si>
  <si>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</si>
  <si>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</si>
  <si>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</si>
  <si>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</si>
  <si>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</si>
  <si>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</si>
  <si>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</si>
  <si>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</si>
  <si>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</si>
  <si>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</si>
  <si>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</si>
  <si>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</si>
  <si>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</si>
  <si>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</si>
  <si>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</si>
  <si>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</si>
  <si>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</si>
  <si>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</si>
  <si>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</si>
  <si>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</si>
  <si>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</si>
  <si>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</si>
  <si>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</si>
  <si>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</si>
  <si>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</si>
  <si>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</si>
  <si>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</si>
  <si>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</si>
  <si>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</si>
  <si>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</si>
  <si>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</si>
  <si>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</si>
  <si>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</si>
  <si>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</si>
  <si>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</si>
  <si>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</si>
  <si>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</si>
  <si>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</si>
  <si>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</si>
  <si>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</si>
  <si>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</si>
  <si>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</si>
  <si>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</si>
  <si>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</si>
  <si>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</si>
  <si>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</si>
  <si>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</si>
  <si>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</si>
  <si>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</si>
  <si>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</si>
  <si>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</si>
  <si>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</si>
  <si>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</si>
  <si>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</si>
  <si>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</si>
  <si>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</si>
  <si>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</si>
  <si>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</si>
  <si>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</si>
  <si>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</si>
  <si>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</si>
  <si>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</si>
  <si>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</si>
  <si>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</si>
  <si>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</si>
  <si>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</si>
  <si>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</si>
  <si>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</si>
  <si>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</si>
  <si>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</si>
  <si>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</si>
  <si>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</si>
  <si>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</si>
  <si>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</si>
  <si>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</si>
  <si>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</si>
  <si>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</si>
  <si>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</si>
  <si>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</si>
  <si>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</si>
  <si>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</si>
  <si>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</si>
  <si>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</si>
  <si>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</si>
  <si>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</si>
  <si>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</si>
  <si>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</si>
  <si>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</si>
  <si>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</si>
  <si>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</si>
  <si>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</si>
  <si>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</si>
  <si>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</si>
  <si>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</si>
  <si>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</si>
  <si>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</si>
  <si>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</si>
  <si>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</si>
  <si>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</si>
  <si>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</si>
  <si>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</si>
  <si>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</si>
  <si>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</si>
  <si>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</si>
  <si>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</si>
  <si>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</si>
  <si>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</si>
  <si>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</si>
  <si>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</si>
  <si>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</si>
  <si>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</si>
  <si>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</si>
  <si>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</si>
  <si>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</si>
  <si>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</si>
  <si>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</si>
  <si>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</si>
  <si>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</si>
  <si>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</si>
  <si>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</si>
  <si>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</si>
  <si>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</si>
  <si>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</si>
  <si>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</si>
  <si>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</si>
  <si>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</si>
  <si>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</si>
  <si>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</si>
  <si>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</si>
  <si>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</si>
  <si>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</si>
  <si>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</si>
  <si>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</si>
  <si>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</si>
  <si>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</si>
  <si>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</si>
  <si>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</si>
  <si>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</si>
  <si>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</si>
  <si>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</si>
  <si>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</si>
  <si>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</si>
  <si>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</si>
  <si>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</si>
  <si>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</si>
  <si>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</si>
  <si>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</si>
  <si>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</si>
  <si>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</si>
  <si>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</si>
  <si>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</si>
  <si>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</si>
  <si>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</si>
  <si>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</si>
  <si>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</si>
  <si>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</si>
  <si>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</si>
  <si>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</si>
  <si>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</si>
  <si>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</si>
  <si>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</si>
  <si>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</si>
  <si>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</si>
  <si>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</si>
  <si>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</si>
  <si>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</si>
  <si>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</si>
  <si>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</si>
  <si>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</si>
  <si>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</si>
  <si>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</si>
  <si>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</si>
  <si>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</si>
  <si>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</si>
  <si>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</si>
  <si>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</si>
  <si>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</si>
  <si>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</si>
  <si>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</si>
  <si>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</si>
  <si>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</si>
  <si>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</si>
  <si>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</si>
  <si>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</si>
  <si>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</si>
  <si>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</si>
  <si>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</si>
  <si>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</si>
  <si>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</si>
  <si>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</si>
  <si>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</si>
  <si>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</si>
  <si>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</si>
  <si>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</si>
  <si>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</si>
  <si>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</si>
  <si>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</si>
  <si>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</si>
  <si>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</si>
  <si>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</si>
  <si>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</si>
  <si>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</si>
  <si>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</si>
  <si>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</si>
  <si>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</si>
  <si>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</si>
  <si>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</si>
  <si>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</si>
  <si>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</si>
  <si>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</si>
  <si>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</si>
  <si>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</si>
  <si>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</si>
  <si>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</si>
  <si>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</si>
  <si>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</si>
  <si>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</si>
  <si>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</si>
  <si>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</si>
  <si>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</si>
  <si>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</si>
  <si>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</si>
  <si>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</si>
  <si>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</si>
  <si>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</si>
  <si>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</si>
  <si>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</si>
  <si>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</si>
  <si>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</si>
  <si>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</si>
  <si>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</si>
  <si>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</si>
  <si>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</si>
  <si>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</si>
  <si>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</si>
  <si>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</si>
  <si>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</si>
  <si>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</si>
  <si>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</si>
  <si>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</si>
  <si>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</si>
  <si>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</si>
  <si>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</si>
  <si>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</si>
  <si>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</si>
  <si>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</si>
  <si>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</si>
  <si>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</si>
  <si>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</si>
  <si>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</si>
  <si>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</si>
  <si>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</si>
  <si>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</si>
  <si>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</si>
  <si>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</si>
  <si>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</si>
  <si>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</si>
  <si>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</si>
  <si>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</si>
  <si>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</si>
  <si>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</si>
  <si>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</si>
  <si>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</si>
  <si>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</si>
  <si>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</si>
  <si>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</si>
  <si>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</si>
  <si>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</si>
  <si>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</si>
  <si>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</si>
  <si>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</si>
  <si>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</si>
  <si>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</si>
  <si>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</si>
  <si>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</si>
  <si>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</si>
  <si>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</si>
  <si>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</si>
  <si>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</si>
  <si>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</si>
  <si>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</si>
  <si>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</si>
  <si>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</si>
  <si>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</si>
  <si>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</si>
  <si>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</si>
  <si>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</si>
  <si>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</si>
  <si>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</si>
  <si>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</si>
  <si>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</si>
  <si>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</si>
  <si>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</si>
  <si>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</si>
  <si>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</si>
  <si>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</si>
  <si>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</si>
  <si>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</si>
  <si>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</si>
  <si>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</si>
  <si>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</si>
  <si>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</si>
  <si>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</si>
  <si>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</si>
  <si>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</si>
  <si>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</si>
  <si>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</si>
  <si>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</si>
  <si>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</si>
  <si>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</si>
  <si>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</si>
  <si>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</si>
  <si>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</si>
  <si>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</si>
  <si>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</si>
  <si>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</si>
  <si>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</si>
  <si>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</si>
  <si>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</si>
  <si>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</si>
  <si>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</si>
  <si>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</si>
  <si>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</si>
  <si>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</si>
  <si>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</si>
  <si>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</si>
  <si>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</si>
  <si>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</si>
  <si>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</si>
  <si>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</si>
  <si>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</si>
  <si>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</si>
  <si>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</si>
  <si>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</si>
  <si>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</si>
  <si>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</si>
  <si>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</si>
  <si>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</si>
  <si>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</si>
  <si>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</si>
  <si>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</si>
  <si>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</si>
  <si>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</si>
  <si>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</si>
  <si>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</si>
  <si>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</si>
  <si>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</si>
  <si>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</si>
  <si>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</si>
  <si>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</si>
  <si>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</si>
  <si>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</si>
  <si>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</si>
  <si>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</si>
  <si>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</si>
  <si>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</si>
  <si>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</si>
  <si>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</si>
  <si>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</si>
  <si>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</si>
  <si>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</si>
  <si>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</si>
  <si>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</si>
  <si>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</si>
  <si>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</si>
  <si>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</si>
  <si>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</si>
  <si>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</si>
  <si>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</si>
  <si>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</si>
  <si>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</si>
  <si>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</si>
  <si>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</si>
  <si>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</si>
  <si>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</si>
  <si>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</si>
  <si>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</si>
  <si>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</si>
  <si>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</si>
  <si>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</si>
  <si>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</si>
  <si>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</si>
  <si>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</si>
  <si>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</si>
  <si>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</si>
  <si>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</si>
  <si>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</si>
  <si>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</si>
  <si>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</si>
  <si>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</si>
  <si>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</si>
  <si>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</si>
  <si>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</si>
  <si>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</si>
  <si>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</si>
  <si>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</si>
  <si>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</si>
  <si>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</si>
  <si>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</si>
  <si>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</si>
  <si>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</si>
  <si>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</si>
  <si>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</si>
  <si>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</si>
  <si>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</si>
  <si>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</si>
  <si>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</si>
  <si>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</si>
  <si>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</si>
  <si>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</si>
  <si>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</si>
  <si>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</si>
  <si>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</si>
  <si>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</si>
  <si>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</si>
  <si>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</si>
  <si>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</si>
  <si>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</si>
  <si>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</si>
  <si>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</si>
  <si>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</si>
  <si>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</si>
  <si>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</si>
  <si>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</si>
  <si>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</si>
  <si>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</si>
  <si>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</si>
  <si>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</si>
  <si>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</si>
  <si>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</si>
  <si>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</si>
  <si>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</si>
  <si>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</si>
  <si>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</si>
  <si>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</si>
  <si>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</si>
  <si>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</si>
  <si>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</si>
  <si>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</si>
  <si>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</si>
  <si>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</si>
  <si>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</si>
  <si>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</si>
  <si>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</si>
  <si>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</si>
  <si>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</si>
  <si>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</si>
  <si>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</si>
  <si>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</si>
  <si>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</si>
  <si>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</si>
  <si>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</si>
  <si>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</si>
  <si>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</si>
  <si>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</si>
  <si>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</si>
  <si>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</si>
  <si>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</si>
  <si>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</si>
  <si>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</si>
  <si>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</si>
  <si>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</si>
  <si>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</si>
  <si>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</si>
  <si>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</si>
  <si>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</si>
  <si>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</si>
  <si>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</si>
  <si>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</si>
  <si>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</si>
  <si>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</si>
  <si>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</si>
  <si>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</si>
  <si>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</si>
  <si>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</si>
  <si>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</si>
  <si>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</si>
  <si>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</si>
  <si>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</si>
  <si>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</si>
  <si>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</si>
  <si>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</si>
  <si>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</si>
  <si>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</si>
  <si>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</si>
  <si>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</si>
  <si>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</si>
  <si>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</si>
  <si>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</si>
  <si>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</si>
  <si>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</si>
  <si>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</si>
  <si>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</si>
  <si>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</si>
  <si>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</si>
  <si>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</si>
  <si>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</si>
  <si>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</si>
  <si>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</si>
  <si>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</si>
  <si>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</si>
  <si>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</si>
  <si>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</si>
  <si>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</si>
  <si>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</si>
  <si>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</si>
  <si>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</si>
  <si>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</si>
  <si>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</si>
  <si>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</si>
  <si>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</si>
  <si>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</si>
  <si>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</si>
  <si>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</si>
  <si>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</si>
  <si>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</si>
  <si>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</si>
  <si>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</si>
  <si>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</si>
  <si>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</si>
  <si>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</si>
  <si>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</si>
  <si>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</si>
  <si>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</si>
  <si>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</si>
  <si>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</si>
  <si>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</si>
  <si>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</si>
  <si>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</si>
  <si>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</si>
  <si>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</si>
  <si>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</si>
  <si>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</si>
  <si>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</si>
  <si>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</si>
  <si>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</si>
  <si>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</si>
  <si>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</si>
  <si>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</si>
  <si>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</si>
  <si>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</si>
  <si>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</si>
  <si>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</si>
  <si>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</si>
  <si>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</si>
  <si>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</si>
  <si>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</si>
  <si>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</si>
  <si>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</si>
  <si>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</si>
  <si>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</si>
  <si>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</si>
  <si>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</si>
  <si>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</si>
  <si>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</si>
  <si>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</si>
  <si>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</si>
  <si>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</si>
  <si>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</si>
  <si>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</si>
  <si>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</si>
  <si>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</si>
  <si>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</si>
  <si>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</si>
  <si>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</si>
  <si>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</si>
  <si>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</si>
  <si>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</si>
  <si>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</si>
  <si>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</si>
  <si>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</si>
  <si>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</si>
  <si>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</si>
  <si>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</si>
  <si>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</si>
  <si>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</si>
  <si>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</si>
  <si>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</si>
  <si>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</si>
  <si>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</si>
  <si>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</si>
  <si>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</si>
  <si>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</si>
  <si>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</si>
  <si>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</si>
  <si>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</si>
  <si>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</si>
  <si>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</si>
  <si>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</si>
  <si>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</si>
  <si>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</si>
  <si>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</si>
  <si>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</si>
  <si>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</si>
  <si>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</si>
  <si>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</si>
  <si>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</si>
  <si>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</si>
  <si>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</si>
  <si>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</si>
  <si>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</si>
  <si>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</si>
  <si>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</si>
  <si>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</si>
  <si>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</si>
  <si>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</si>
  <si>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</si>
  <si>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</si>
  <si>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</si>
  <si>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</si>
  <si>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</si>
  <si>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</si>
  <si>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</si>
  <si>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</si>
  <si>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</si>
  <si>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</si>
  <si>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</si>
  <si>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</si>
  <si>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</si>
  <si>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</si>
  <si>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</si>
  <si>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</si>
  <si>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</si>
  <si>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</si>
  <si>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</si>
  <si>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</si>
  <si>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</si>
  <si>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</si>
  <si>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</si>
  <si>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</si>
  <si>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</si>
  <si>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</si>
  <si>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</si>
  <si>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</si>
  <si>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</si>
  <si>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</si>
  <si>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</si>
  <si>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</si>
  <si>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</si>
  <si>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</si>
  <si>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</si>
  <si>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</si>
  <si>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</si>
  <si>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</si>
  <si>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</si>
  <si>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</si>
  <si>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</si>
  <si>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</si>
  <si>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</si>
  <si>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</si>
  <si>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</si>
  <si>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</si>
  <si>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</si>
  <si>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</si>
  <si>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</si>
  <si>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</si>
  <si>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</si>
  <si>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</si>
  <si>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</si>
  <si>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</si>
  <si>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</si>
  <si>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</si>
  <si>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</si>
  <si>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</si>
  <si>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</si>
  <si>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</si>
  <si>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</si>
  <si>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</si>
  <si>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</si>
  <si>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</si>
  <si>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</si>
  <si>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</si>
  <si>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</si>
  <si>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</si>
  <si>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</si>
  <si>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</si>
  <si>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</si>
  <si>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</si>
  <si>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</si>
  <si>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</si>
  <si>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</si>
  <si>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</si>
  <si>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</si>
  <si>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</si>
  <si>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</si>
  <si>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</si>
  <si>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</si>
  <si>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</si>
  <si>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</si>
  <si>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</si>
  <si>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</si>
  <si>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</si>
  <si>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</si>
  <si>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</si>
  <si>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</si>
  <si>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</si>
  <si>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</si>
  <si>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</si>
  <si>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</si>
  <si>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</si>
  <si>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</si>
  <si>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</si>
  <si>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</si>
  <si>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</si>
  <si>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</si>
  <si>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</si>
  <si>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</si>
  <si>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</si>
  <si>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</si>
  <si>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</si>
  <si>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</si>
  <si>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</si>
  <si>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</si>
  <si>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</si>
  <si>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</si>
  <si>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</si>
  <si>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</si>
  <si>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</si>
  <si>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</si>
  <si>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</si>
  <si>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</si>
  <si>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</si>
  <si>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</si>
  <si>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</si>
  <si>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</si>
  <si>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</si>
  <si>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</si>
  <si>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</si>
  <si>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</si>
  <si>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</si>
  <si>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</si>
  <si>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</si>
  <si>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</si>
  <si>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</si>
  <si>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</si>
  <si>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</si>
  <si>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</si>
  <si>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</si>
  <si>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</si>
  <si>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</si>
  <si>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</si>
  <si>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</si>
  <si>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</si>
  <si>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</si>
  <si>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</si>
  <si>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</si>
  <si>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</si>
  <si>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</si>
  <si>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</si>
  <si>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</si>
  <si>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</si>
  <si>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</si>
  <si>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</si>
  <si>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</si>
  <si>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</si>
  <si>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</si>
  <si>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</si>
  <si>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</si>
  <si>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</si>
  <si>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</si>
  <si>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</si>
  <si>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</si>
  <si>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</si>
  <si>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</si>
  <si>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</si>
  <si>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</si>
  <si>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</si>
  <si>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</si>
  <si>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</si>
  <si>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</si>
  <si>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</si>
  <si>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</si>
  <si>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</si>
  <si>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</si>
  <si>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</si>
  <si>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</si>
  <si>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</si>
  <si>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</si>
  <si>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</si>
  <si>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</si>
  <si>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</si>
  <si>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</si>
  <si>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</si>
  <si>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</si>
  <si>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</si>
  <si>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</si>
  <si>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</si>
  <si>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</si>
  <si>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</si>
  <si>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</si>
  <si>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</si>
  <si>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</si>
  <si>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</si>
  <si>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</si>
  <si>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</si>
  <si>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</si>
  <si>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</si>
  <si>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</si>
  <si>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</si>
  <si>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</si>
  <si>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</si>
  <si>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</si>
  <si>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</si>
  <si>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</si>
  <si>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</si>
  <si>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</si>
  <si>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</si>
  <si>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</si>
  <si>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</si>
  <si>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</si>
  <si>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</si>
  <si>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</si>
  <si>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</si>
  <si>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</si>
  <si>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</si>
  <si>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</si>
  <si>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</si>
  <si>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</si>
  <si>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</si>
  <si>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</si>
  <si>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</si>
  <si>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</si>
  <si>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</si>
  <si>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</si>
  <si>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</si>
  <si>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</si>
  <si>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</si>
  <si>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</si>
  <si>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</si>
  <si>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</si>
  <si>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</si>
  <si>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</si>
  <si>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</si>
  <si>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</si>
  <si>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</si>
  <si>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</si>
  <si>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</si>
  <si>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</si>
  <si>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</si>
  <si>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</si>
  <si>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</si>
  <si>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</si>
  <si>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</si>
  <si>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</si>
  <si>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</si>
  <si>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</si>
  <si>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</si>
  <si>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</si>
  <si>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</si>
  <si>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</si>
  <si>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</si>
  <si>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</si>
  <si>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</si>
  <si>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</si>
  <si>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</si>
  <si>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</si>
  <si>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</si>
  <si>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</si>
  <si>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</si>
  <si>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</si>
  <si>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</si>
  <si>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</si>
  <si>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</si>
  <si>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</si>
  <si>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</si>
  <si>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</si>
  <si>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</si>
  <si>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</si>
  <si>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</si>
  <si>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</si>
  <si>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</si>
  <si>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</si>
  <si>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</si>
  <si>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</si>
  <si>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</si>
  <si>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</si>
  <si>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</si>
  <si>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</si>
  <si>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</si>
  <si>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</si>
  <si>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</si>
  <si>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</si>
  <si>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</si>
  <si>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</si>
  <si>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</si>
  <si>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</si>
  <si>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</si>
  <si>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</si>
  <si>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</si>
  <si>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</si>
  <si>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</si>
  <si>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</si>
  <si>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</si>
  <si>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</si>
  <si>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</si>
  <si>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</si>
  <si>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</si>
  <si>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</si>
  <si>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</si>
  <si>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</si>
  <si>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</si>
  <si>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</si>
  <si>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</si>
  <si>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</si>
  <si>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</si>
  <si>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</si>
  <si>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</si>
  <si>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</si>
  <si>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</si>
  <si>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</si>
  <si>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</si>
  <si>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</si>
  <si>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</si>
  <si>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</si>
  <si>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</si>
  <si>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</si>
  <si>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</si>
  <si>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</si>
  <si>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</si>
  <si>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</si>
  <si>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</si>
  <si>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</si>
  <si>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</si>
  <si>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</si>
  <si>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</si>
  <si>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</si>
  <si>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</si>
  <si>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</si>
  <si>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</si>
  <si>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</si>
  <si>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</si>
  <si>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</si>
  <si>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</si>
  <si>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</si>
  <si>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</si>
  <si>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</si>
  <si>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</si>
  <si>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</si>
  <si>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</si>
  <si>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</si>
  <si>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</si>
  <si>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</si>
  <si>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</si>
  <si>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</si>
  <si>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</si>
  <si>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</si>
  <si>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</si>
  <si>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</si>
  <si>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</si>
  <si>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</si>
  <si>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</si>
  <si>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</si>
  <si>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</si>
  <si>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</si>
  <si>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</si>
  <si>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</si>
  <si>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</si>
  <si>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</si>
  <si>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</si>
  <si>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</si>
  <si>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</si>
  <si>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</si>
  <si>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</si>
  <si>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</si>
  <si>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</si>
  <si>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</si>
  <si>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</si>
  <si>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</si>
  <si>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</si>
  <si>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</si>
  <si>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</si>
  <si>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</si>
  <si>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</si>
  <si>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</si>
  <si>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</si>
  <si>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</si>
  <si>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</si>
  <si>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</si>
  <si>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01 לחודש</t>
  </si>
  <si>
    <t>02 לחודש</t>
  </si>
  <si>
    <t xml:space="preserve">לזמני כניסת שבת ויציאת שבת של כל השבתות בשנה לחצו כאן! </t>
  </si>
  <si>
    <t>זמני היום והשבת הקרובה</t>
  </si>
  <si>
    <t>אביעזר, אבן יהודה, אבן שמואל, אבני איתן, אבני חפץ, אדרת, אופקים, אור הגנוז, אור יהודה, אור עקיבא, אורה, אחוזם, אחיטוב, אחיסמך, אחיעזר, אילת, איתמר, איתן, איתנים, אלון מורה, אלון שבות, אלוני הבשן, אלי סיני, אליכין, אליפלט, אלעד, אלעזר, אלפי מנשה, אלקנה, אמציה, אפרתה, אריאל, אשדוד, אשכול, אשקלון, אשתאול, באר טוביה, באר יעקב, באר שבע, בארות יצחק, בדולח, בורגתה, ביאליק, ביריה, בית אב''א, בית אל, בית אריה, בית גמליאל, בית דגן, בית הגדי, בית הלל, בית חלקיה, בית יהושע, בית יוסף, בית לחם, בית מאיר, בית עוזיאל, בית רמון, בית שאן, בית שמש, ביתר עילית, בן זכאי, בני ברק, בני דרום, בני עטרות, בני עיש, בני עצמון, בני ראם, בנימינה, בסיס חיל האוויר רמון, ברוכין, ברוש, ברכה, ברכיה, ברק, ברקן, ברקת, בת ים, בת עין ב', בת שלמה, גבעולים, גבעת זאב, גבעת זאב אגן האיילות, גבעת יערים, גבעת יצהר, גבעת עדה, גבעתיים, גבעתים, גדיד, גדרה, גוש דן, גילת, גלים, גמזו, גן אור, גן יבנה, גני טל, גפן, דובב, דימונה, דלב, דלתון, הוד השרון, הודיה, הושעיה, הזורעים, הרצליה, הרצליה א', הרצליה ב', זבדיאל, זכרון יעקב, זמרת, זנוח, זרועה, זרחיה, חברון, חגי, חדיד, חדרה, חוות השומר, חולון, חופית, חזון, חיפה, חלמיש, חמד, חמת גדר, חסן, חפץ חיים, חצור הגלילית, חרב לאת, חריש, חרשה, חשמונאים, טבריה, טבריה עילית, טירת יהודה, טירת כרמל, טירת צבי, טלז, טלמון, טנא, טפחות, יבנאל, יבנה, יגל, יד בנימין, יד רמב''ם, יהוד, יונתן, יושיביה, יטבתה, יסוד המעלה, יסודות, יערה, יצהר, יקיר, יקנעם, ירוחם, ירושלים, ישעי, כוכב השחר, כוכב יאיר, כוכב יעקב, כלנית, כסלון, כפר אדומים, כפר גדעון, כפר דרום, כפר זיתים, כפר חב''ד, כפר חנניה, כפר חסידים, כפר יונה, כפר יעבץ, כפר מימון, כפר מנחם, כפר סבא, כפר סירקין, כפר עציון, כפר ראש הנקרה, כפר שמאי, כפר שמריהו, כפר תבור, כפר תפוח, כרם בן זמרה, כרמי צור, כרמיאל, כרמל, לביא, לוד, לכיש, מבוא חורון, מבוא מודיעים, מבשרת ציון, מגדים, מגדל העמק, מגדל עז, מגדלים, מודיעין, מודיעין עילית, מוצא, מוצקין, מורג, מורשת, מושב, מזור, מזכרת בתיה, מחולה, מחסיה, מטולה, מטולה הר צפיה, מטע, מיצד, מירב, מירון, מיתר, מכבים, מלילות, מנוף, מנורה, מנחמיה, מעוז ציון, מעון, מעלה אדומים, מעלה גלבוע, מעלה לבונה, מעלה מכמש, מעלה עמוס, מעלות, מצפה יריחו, מצפה נבו, מצפה רמון, מרכז שפירא, משגב, משואות יצחק, משמר הירדן, מתתיהו, נהריה, נווה אפרים, נווה דניאל, נווה דקלים, נווה זיו, נועם, נוקדים, נחושה, נחליאל, נחלים, נחלת יהודה, נחם, נטר, ניל''י, ניר, ניר עציון, נירית, נמל תעופה בן גוריון, נמל תעופה בן גוריון בלוד, נס הרים, נס ציונה, נעלה, נצר חזני, נצרת עילית, נצרת עלית, נריה, נתיבות, נתניה, סביון, סוסיא, סעד, עגור, עומר, עזריאל, עזריקם, עין בוקק, עין גב, עין גדי (קיבוץ), עין הנציב, עין יעקב, עין צורים, עינב, עכו, עלומים, עלי, עלמה, עלמון, עמונה, עמנואל, עמקה, עפולה, עפרה, עץ אפרים, עצם, ערד, עתלית, עתניאל, פדואל, פוריה נווה עובד, פוריה עלית, פורת, פטיש, פני חבר, פסגות, פעמי תש''ז, פרדס חנה, פתח תקוה, פתח תקווה, צאלים, צופין, צור הדסה, צוריאל, ציפורי, צפריה, צפת, קבוצת יבנה, קבר יוסף, קבר רחל, קבר שמואל הנביא, קדומים, קדימה, קוממיות, קטיף, קיסריה, קצרין, קרית אונו, קרית ארבע, קרית אתא, קרית ביאליק, קרית גת, קרית טבעון, קרית ים, קרית יערים, קרית מוצקין, קרית מלאכי, קרית נטפים, קרית ספר, קרית ענבים, קרית עקרון, קרית שמונה, קשת, ראש העין, ראש צורים, ראשון לציון, רבבה, רווחה, רוויה, רחוב, רחובות, רימונים, רכסים, רמלה, רמת בית שמש, רמת גן, רמת השרון, רמת ישי, רמת מגשימים, רמת מטרד, רמת פינקס, רמת רזיאל, רעות, רעננה, שא נור, שאר ישוב, שבות רחל, שגב, שדה אליהו, שדה יעקב, שדה תרומות, שדי חמד, שדמות מחולה, שדרות, שהם, שואבה, שובה, שוקדה, שילה, שכם, שלווה, שלוחות, שלומי, שמעה, שעלבים, שערי אברהם, שערי תקווה, שרשרת, תושיה, תירוש, תל אביב, תל ציון, תעוז, תפרח, תקומה, תקוע, תרום</t>
  </si>
  <si>
    <t>רביעי</t>
  </si>
  <si>
    <t>חמישי</t>
  </si>
  <si>
    <t>שישי</t>
  </si>
  <si>
    <t>שבת</t>
  </si>
  <si>
    <t>ראשון</t>
  </si>
  <si>
    <t>שני</t>
  </si>
  <si>
    <t>שלישי</t>
  </si>
  <si>
    <t>יום ראשון - י"ז אדר ב' ה'תשע"ט, 24/03/2019</t>
  </si>
  <si>
    <t>י"ז אדר ב' ה'תשע"ט</t>
  </si>
  <si>
    <t>יום קודםט"ז אדר ב' ה'תשע"ט</t>
  </si>
  <si>
    <t>יום הבאי"ח אדר ב' ה'תשע"ט</t>
  </si>
  <si>
    <t>חולין קי"ז</t>
  </si>
  <si>
    <t>תרומות י"ח</t>
  </si>
  <si>
    <t>הלכות קרבן פסח ט'</t>
  </si>
  <si>
    <t>כ"ג אדר ב' ה'תשע"ט 30/03/2019</t>
  </si>
  <si>
    <t>פרשת השבוע: שמיני</t>
  </si>
  <si>
    <t>שבת מברכין</t>
  </si>
  <si>
    <t>הפטרה (אשכנזים): בן אדם (יחזקאל לו,טז-לח)</t>
  </si>
  <si>
    <t>הפטרה (ספרדים): בן אדם (יחזקאל לו,טז-לו)</t>
  </si>
  <si>
    <t>שבת מברכים: חודש ניסן</t>
  </si>
  <si>
    <t>המולד: ליל שישי, בשעה 1 בלילה, 25 דקות ו17 חלקים</t>
  </si>
  <si>
    <t>הדלקת נרות: 18:38</t>
  </si>
  <si>
    <t>צאת השבת: 19:35</t>
  </si>
  <si>
    <t>צאת השבת לרבינו תם: 20:11</t>
  </si>
  <si>
    <t>י"ז באדר ב' ה'תשע"ט, 24 במרץ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</si>
</sst>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97">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21" fontId="5" fillId="0" borderId="0" xfId="2" applyNumberForma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11" fillId="0" borderId="0" xfId="0" applyFont="1"/>
    <xf numFmtId="0" fontId="6" fillId="0" borderId="0" xfId="1"/>
    <xf numFmtId="0" fontId="3" fillId="0" borderId="0" xfId="2" applyFont="1"/>
    <xf numFmtId="0" fontId="2" fillId="0" borderId="0" xfId="2" applyFont="1"/>
    <xf numFmtId="0" fontId="14" fillId="0" borderId="0" xfId="2" applyFont="1"/>
    <xf numFmtId="20" fontId="15" fillId="2" borderId="0" xfId="2" applyNumberFormat="1" applyFont="1" applyFill="1" applyAlignment="1">
      <alignment horizontal="center" vertical="center"/>
    </xf>
    <xf numFmtId="20" fontId="15" fillId="2" borderId="0" xfId="2" applyNumberFormat="1" applyFont="1" applyFill="1" applyAlignment="1">
      <alignment horizontal="center"/>
    </xf>
    <xf numFmtId="20" fontId="15" fillId="0" borderId="0" xfId="2" applyNumberFormat="1" applyFont="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Alignment="1">
      <alignment horizontal="center"/>
    </xf>
    <xf numFmtId="0" fontId="17" fillId="2" borderId="2" xfId="2" applyFont="1" applyFill="1" applyBorder="1" applyAlignment="1">
      <alignment horizontal="center" vertical="center" wrapText="1"/>
    </xf>
    <xf numFmtId="0" fontId="17" fillId="2" borderId="2" xfId="2" applyFont="1" applyFill="1" applyBorder="1" applyAlignment="1">
      <alignment horizontal="center" vertical="center"/>
    </xf>
    <xf numFmtId="0" fontId="14" fillId="0" borderId="0" xfId="2" applyFont="1" applyAlignment="1">
      <alignment horizontal="center"/>
    </xf>
    <xf numFmtId="0" fontId="15" fillId="0" borderId="0" xfId="2" applyFont="1" applyAlignment="1">
      <alignment horizontal="center"/>
    </xf>
    <xf numFmtId="0" fontId="19" fillId="5" borderId="0" xfId="2" applyFont="1" applyFill="1" applyAlignment="1">
      <alignment horizontal="center" vertical="center" wrapText="1"/>
    </xf>
    <xf numFmtId="20" fontId="19" fillId="5" borderId="0" xfId="2" applyNumberFormat="1" applyFont="1" applyFill="1" applyAlignment="1">
      <alignment horizontal="center" vertical="center" wrapText="1"/>
    </xf>
    <xf numFmtId="20" fontId="19" fillId="0" borderId="0" xfId="2" applyNumberFormat="1" applyFont="1" applyAlignment="1">
      <alignment horizontal="center" vertical="center" wrapText="1"/>
    </xf>
    <xf numFmtId="0" fontId="20" fillId="0" borderId="0" xfId="2" applyFont="1" applyAlignment="1">
      <alignment horizontal="center" vertical="center" wrapText="1"/>
    </xf>
    <xf numFmtId="0" fontId="20" fillId="5" borderId="0" xfId="2" applyFont="1" applyFill="1" applyAlignment="1">
      <alignment horizontal="center" vertical="center" wrapText="1"/>
    </xf>
    <xf numFmtId="20" fontId="19" fillId="5" borderId="0" xfId="2" applyNumberFormat="1" applyFont="1" applyFill="1" applyAlignment="1">
      <alignment horizontal="center" vertical="center"/>
    </xf>
    <xf numFmtId="0" fontId="21" fillId="0" borderId="0" xfId="0" applyFont="1"/>
    <xf numFmtId="0" fontId="22" fillId="0" borderId="0" xfId="2" applyFont="1"/>
    <xf numFmtId="0" fontId="23" fillId="0" borderId="0" xfId="2" applyFont="1"/>
    <xf numFmtId="0" fontId="24" fillId="0" borderId="0" xfId="2" applyFont="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Alignment="1">
      <alignment horizontal="center" wrapText="1"/>
    </xf>
    <xf numFmtId="14" fontId="23" fillId="0" borderId="0" xfId="2" applyNumberFormat="1" applyFont="1"/>
    <xf numFmtId="0" fontId="25" fillId="0" borderId="0" xfId="2" applyFont="1" applyAlignment="1">
      <alignment horizontal="left" vertical="center" wrapText="1"/>
    </xf>
    <xf numFmtId="166" fontId="0" fillId="0" borderId="0" xfId="0" applyNumberForma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Font="1" applyAlignment="1">
      <alignment wrapText="1"/>
    </xf>
    <xf numFmtId="0" fontId="35" fillId="0" borderId="0" xfId="6" applyAlignment="1">
      <alignment vertical="center"/>
    </xf>
    <xf numFmtId="0" fontId="11" fillId="0" borderId="0" xfId="0" applyFont="1" applyAlignment="1">
      <alignment horizontal="right" wrapText="1"/>
    </xf>
    <xf numFmtId="0" fontId="32" fillId="8" borderId="3" xfId="5"/>
    <xf numFmtId="0" fontId="36" fillId="0" borderId="3" xfId="5" applyFont="1" applyFill="1"/>
    <xf numFmtId="166" fontId="0" fillId="9" borderId="0" xfId="0" applyNumberFormat="1" applyFill="1"/>
    <xf numFmtId="0" fontId="19" fillId="0" borderId="0" xfId="2" applyFont="1" applyAlignment="1">
      <alignment horizontal="center" vertical="center" wrapText="1"/>
    </xf>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11" fillId="0" borderId="0" xfId="6" applyFont="1" applyAlignment="1">
      <alignment vertical="center"/>
    </xf>
    <xf numFmtId="0" fontId="8" fillId="0" borderId="0" xfId="1" applyFont="1" applyAlignment="1">
      <alignment horizontal="center" vertical="center" readingOrder="2"/>
    </xf>
    <xf numFmtId="168" fontId="19" fillId="0" borderId="0" xfId="2" applyNumberFormat="1" applyFont="1" applyAlignment="1">
      <alignment horizontal="center" vertical="center" wrapText="1"/>
    </xf>
    <xf numFmtId="0" fontId="13" fillId="3" borderId="0" xfId="2" applyFont="1" applyFill="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Alignment="1">
      <alignment horizontal="center" vertical="center"/>
    </xf>
    <xf numFmtId="0" fontId="17" fillId="0" borderId="2" xfId="2" applyFont="1" applyBorder="1" applyAlignment="1">
      <alignment horizontal="center" vertical="top" wrapText="1"/>
    </xf>
    <xf numFmtId="0" fontId="20" fillId="0" borderId="0" xfId="2" applyFont="1" applyAlignment="1">
      <alignment horizontal="center" vertical="top" wrapText="1"/>
    </xf>
  </cellXfs>
  <cellStyles count="7">
    <cellStyle name="Calculation" xfId="5" builtinId="22"/>
    <cellStyle name="Good" xfId="3" builtinId="26"/>
    <cellStyle name="Hyperlink" xfId="6" builtinId="8"/>
    <cellStyle name="Neutral" xfId="4" builtinId="28"/>
    <cellStyle name="Normal" xfId="0" builtinId="0"/>
    <cellStyle name="Normal 2" xfId="2" xr:uid="{00000000-0005-0000-0000-000001000000}"/>
    <cellStyle name="Normal_HEBREw_Date_Converter1" xfId="1" xr:uid="{00000000-0005-0000-0000-000002000000}"/>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125" defaultRowHeight="14.25"/>
  <cols>
    <col min="1" max="1" width="11.75" bestFit="1" customWidth="1"/>
    <col min="2" max="2" width="11" customWidth="1"/>
    <col min="3" max="3" width="10.5" bestFit="1" customWidth="1"/>
    <col min="4" max="4" width="8.5" customWidth="1"/>
    <col min="5" max="5" width="2.5" customWidth="1"/>
    <col min="6" max="6" width="5.5" customWidth="1"/>
    <col min="7" max="8" width="8.125" style="1" customWidth="1"/>
    <col min="9" max="9" width="9.625" style="1" customWidth="1"/>
    <col min="10" max="10" width="14.75" style="1" customWidth="1"/>
    <col min="11" max="11" width="8.125" style="1"/>
    <col min="12" max="12" width="34.125" style="1" customWidth="1"/>
    <col min="13" max="16384" width="8.125" style="1"/>
  </cols>
  <sheetData>
    <row r="1" spans="8:16" ht="18">
      <c r="J1" s="11">
        <v>0.79166666666666696</v>
      </c>
      <c r="K1" s="10">
        <f ca="1">NOW()-TODAY()</f>
        <v>0.87010844907490537</v>
      </c>
      <c r="L1" s="8"/>
      <c r="M1"/>
      <c r="N1"/>
      <c r="O1"/>
      <c r="P1"/>
    </row>
    <row r="2" spans="8:16">
      <c r="L2" s="2" t="str">
        <f>LEFT(גיליון2!B1,(FIND(",",גיליון2!B1,1)-1))</f>
        <v>יום ראשון - י"ז אדר ב' ה'תשע"ט</v>
      </c>
      <c r="M2"/>
      <c r="N2"/>
      <c r="O2"/>
      <c r="P2"/>
    </row>
    <row r="3" spans="8:16">
      <c r="K3" s="2"/>
      <c r="L3" s="73" t="str">
        <f>IF(L1="","","היום"&amp;" "&amp;Holidays!J15&amp;" "&amp;"לעומר")</f>
        <v/>
      </c>
      <c r="M3"/>
      <c r="N3"/>
      <c r="O3"/>
      <c r="P3"/>
    </row>
    <row r="4" spans="8:16">
      <c r="M4"/>
      <c r="N4"/>
      <c r="O4"/>
      <c r="P4"/>
    </row>
    <row r="5" spans="8:16">
      <c r="J5" s="2"/>
      <c r="L5" s="12"/>
      <c r="M5"/>
      <c r="N5"/>
      <c r="O5"/>
      <c r="P5"/>
    </row>
    <row r="6" spans="8:16">
      <c r="M6"/>
      <c r="N6"/>
      <c r="O6"/>
      <c r="P6"/>
    </row>
    <row r="7" spans="8:16">
      <c r="M7"/>
      <c r="N7"/>
      <c r="O7"/>
      <c r="P7"/>
    </row>
    <row r="8" spans="8:16">
      <c r="H8" s="83"/>
      <c r="M8"/>
      <c r="N8"/>
      <c r="O8"/>
      <c r="P8"/>
    </row>
    <row r="9" spans="8:16">
      <c r="H9" s="83"/>
      <c r="M9"/>
      <c r="N9"/>
      <c r="O9"/>
      <c r="P9"/>
    </row>
    <row r="10" spans="8:16">
      <c r="H10" s="3"/>
      <c r="M10"/>
      <c r="N10"/>
      <c r="O10"/>
      <c r="P10"/>
    </row>
    <row r="11" spans="8:16">
      <c r="M11"/>
      <c r="N11"/>
      <c r="O11"/>
      <c r="P11"/>
    </row>
    <row r="12" spans="8:16">
      <c r="M12"/>
      <c r="N12"/>
      <c r="O12"/>
      <c r="P12"/>
    </row>
    <row r="13" spans="8:16">
      <c r="M13"/>
      <c r="N13"/>
      <c r="O13"/>
      <c r="P13"/>
    </row>
    <row r="14" spans="8:16">
      <c r="M14"/>
      <c r="N14"/>
      <c r="O14"/>
      <c r="P14"/>
    </row>
    <row r="15" spans="8:16">
      <c r="M15"/>
      <c r="N15"/>
      <c r="O15"/>
      <c r="P15"/>
    </row>
    <row r="16" spans="8:16">
      <c r="M16"/>
      <c r="N16"/>
      <c r="O16"/>
      <c r="P16"/>
    </row>
    <row r="17" spans="7:16">
      <c r="M17"/>
      <c r="N17"/>
      <c r="O17"/>
      <c r="P17"/>
    </row>
    <row r="18" spans="7:16">
      <c r="M18"/>
      <c r="N18"/>
      <c r="O18"/>
      <c r="P18"/>
    </row>
    <row r="19" spans="7:16">
      <c r="M19"/>
      <c r="N19"/>
      <c r="O19"/>
      <c r="P19"/>
    </row>
    <row r="20" spans="7:16">
      <c r="M20"/>
      <c r="N20"/>
      <c r="O20"/>
      <c r="P20"/>
    </row>
    <row r="21" spans="7:16" ht="15">
      <c r="G21" s="88"/>
      <c r="H21" s="88"/>
      <c r="I21" s="88"/>
      <c r="J21" s="88"/>
      <c r="M21"/>
      <c r="N21"/>
      <c r="O21"/>
      <c r="P21"/>
    </row>
    <row r="22" spans="7:16">
      <c r="M22"/>
      <c r="N22"/>
      <c r="O22"/>
      <c r="P22"/>
    </row>
    <row r="23" spans="7:16">
      <c r="M23"/>
      <c r="N23"/>
      <c r="O23"/>
      <c r="P23"/>
    </row>
    <row r="24" spans="7:16">
      <c r="M24"/>
      <c r="N24"/>
      <c r="O24"/>
      <c r="P24"/>
    </row>
    <row r="25" spans="7:16">
      <c r="M25"/>
      <c r="N25"/>
      <c r="O25"/>
      <c r="P25"/>
    </row>
    <row r="26" spans="7:16">
      <c r="M26"/>
      <c r="N26"/>
      <c r="O26"/>
      <c r="P26"/>
    </row>
    <row r="27" spans="7:16">
      <c r="M27"/>
      <c r="N27"/>
      <c r="O27"/>
      <c r="P27"/>
    </row>
    <row r="28" spans="7:16">
      <c r="M28"/>
      <c r="N28"/>
      <c r="O28"/>
      <c r="P28"/>
    </row>
    <row r="29" spans="7:16">
      <c r="I29" s="2"/>
      <c r="M29"/>
      <c r="N29"/>
      <c r="O29"/>
      <c r="P29"/>
    </row>
    <row r="30" spans="7:16">
      <c r="M30"/>
      <c r="N30"/>
      <c r="O30"/>
      <c r="P30"/>
    </row>
    <row r="31" spans="7:16">
      <c r="M31"/>
      <c r="N31"/>
      <c r="O31"/>
      <c r="P31"/>
    </row>
    <row r="32" spans="7:16">
      <c r="M32" s="13"/>
      <c r="N32"/>
      <c r="O32"/>
      <c r="P32"/>
    </row>
    <row r="33" spans="13:16">
      <c r="M33"/>
      <c r="N33"/>
      <c r="O33"/>
      <c r="P33"/>
    </row>
    <row r="34" spans="13:16">
      <c r="M34"/>
      <c r="N34"/>
      <c r="O34"/>
      <c r="P34"/>
    </row>
    <row r="35" spans="13:16">
      <c r="M35"/>
      <c r="N35"/>
      <c r="O35"/>
      <c r="P35"/>
    </row>
    <row r="36" spans="13:16">
      <c r="M36"/>
      <c r="N36"/>
      <c r="O36"/>
      <c r="P36"/>
    </row>
    <row r="37" spans="13:16">
      <c r="M37"/>
      <c r="N37"/>
      <c r="O37"/>
      <c r="P37"/>
    </row>
    <row r="38" spans="13:16">
      <c r="M38"/>
      <c r="N38"/>
      <c r="O38"/>
      <c r="P38"/>
    </row>
    <row r="39" spans="13:16">
      <c r="M39"/>
      <c r="N39"/>
      <c r="O39"/>
      <c r="P39"/>
    </row>
    <row r="40" spans="13:16">
      <c r="M40"/>
      <c r="N40"/>
      <c r="O40"/>
      <c r="P40"/>
    </row>
    <row r="41" spans="13:16">
      <c r="M41"/>
      <c r="N41"/>
      <c r="O41"/>
      <c r="P41"/>
    </row>
    <row r="42" spans="13:16">
      <c r="M42"/>
      <c r="N42"/>
      <c r="O42"/>
      <c r="P42"/>
    </row>
    <row r="43" spans="13:16">
      <c r="M43"/>
      <c r="N43"/>
      <c r="O43"/>
      <c r="P43"/>
    </row>
    <row r="44" spans="13:16">
      <c r="M44"/>
      <c r="N44"/>
      <c r="O44"/>
      <c r="P44"/>
    </row>
    <row r="45" spans="13:16">
      <c r="M45"/>
      <c r="N45"/>
      <c r="O45"/>
      <c r="P45"/>
    </row>
    <row r="46" spans="13:16">
      <c r="M46"/>
      <c r="N46"/>
      <c r="O46"/>
      <c r="P46"/>
    </row>
    <row r="47" spans="13:16">
      <c r="M47"/>
      <c r="N47"/>
      <c r="O47"/>
      <c r="P47"/>
    </row>
    <row r="48" spans="13:16">
      <c r="M48"/>
      <c r="N48"/>
      <c r="O48"/>
      <c r="P48"/>
    </row>
    <row r="49" spans="13:16">
      <c r="M49"/>
      <c r="N49"/>
      <c r="O49"/>
      <c r="P49"/>
    </row>
    <row r="50" spans="13:16">
      <c r="M50"/>
      <c r="N50"/>
      <c r="O50"/>
      <c r="P50"/>
    </row>
    <row r="51" spans="13:16">
      <c r="M51" s="14"/>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90"/>
  <sheetViews>
    <sheetView rightToLeft="1" workbookViewId="0">
      <selection activeCell="A22" sqref="A22"/>
    </sheetView>
  </sheetViews>
  <sheetFormatPr defaultColWidth="9" defaultRowHeight="14.25"/>
  <cols>
    <col min="1" max="1" width="19.5" style="3" bestFit="1" customWidth="1"/>
    <col min="2" max="2" width="15.125" style="3" bestFit="1" customWidth="1"/>
    <col min="3" max="3" width="9" style="3"/>
    <col min="4" max="4" width="17.625" style="3" customWidth="1"/>
    <col min="5" max="16384" width="9" style="3"/>
  </cols>
  <sheetData>
    <row r="1" spans="1:2">
      <c r="A1" s="3" t="s">
        <v>38</v>
      </c>
    </row>
    <row r="2" spans="1:2">
      <c r="A2" s="3" t="s">
        <v>866</v>
      </c>
    </row>
    <row r="3" spans="1:2">
      <c r="A3" s="3" t="s">
        <v>867</v>
      </c>
    </row>
    <row r="4" spans="1:2">
      <c r="A4" s="3" t="s">
        <v>37</v>
      </c>
      <c r="B4" s="4"/>
    </row>
    <row r="5" spans="1:2">
      <c r="A5" s="3" t="s">
        <v>868</v>
      </c>
      <c r="B5" s="4"/>
    </row>
    <row r="6" spans="1:2">
      <c r="A6" s="3" t="s">
        <v>869</v>
      </c>
      <c r="B6" s="4"/>
    </row>
    <row r="7" spans="1:2">
      <c r="A7" s="3" t="s">
        <v>870</v>
      </c>
      <c r="B7" s="4"/>
    </row>
    <row r="8" spans="1:2">
      <c r="A8" s="7" t="s">
        <v>37</v>
      </c>
      <c r="B8" s="4"/>
    </row>
    <row r="9" spans="1:2">
      <c r="A9" s="3" t="s">
        <v>871</v>
      </c>
      <c r="B9" s="4"/>
    </row>
    <row r="10" spans="1:2">
      <c r="A10" s="3" t="s">
        <v>872</v>
      </c>
      <c r="B10" s="4"/>
    </row>
    <row r="11" spans="1:2">
      <c r="A11" s="3" t="s">
        <v>873</v>
      </c>
      <c r="B11" s="4"/>
    </row>
    <row r="12" spans="1:2">
      <c r="A12" s="3" t="s">
        <v>882</v>
      </c>
      <c r="B12" s="4"/>
    </row>
    <row r="13" spans="1:2">
      <c r="A13" s="3" t="s">
        <v>874</v>
      </c>
      <c r="B13" s="4"/>
    </row>
    <row r="14" spans="1:2">
      <c r="A14" s="3" t="s">
        <v>875</v>
      </c>
      <c r="B14" s="4"/>
    </row>
    <row r="15" spans="1:2">
      <c r="A15" s="3" t="s">
        <v>876</v>
      </c>
      <c r="B15" s="4"/>
    </row>
    <row r="16" spans="1:2">
      <c r="A16" s="3" t="s">
        <v>5</v>
      </c>
      <c r="B16" s="4"/>
    </row>
    <row r="17" spans="1:7">
      <c r="A17" s="3" t="s">
        <v>4</v>
      </c>
      <c r="B17" s="4"/>
    </row>
    <row r="18" spans="1:7">
      <c r="A18" s="3" t="s">
        <v>36</v>
      </c>
      <c r="B18" s="4"/>
    </row>
    <row r="19" spans="1:7">
      <c r="A19" s="3" t="s">
        <v>5</v>
      </c>
    </row>
    <row r="20" spans="1:7">
      <c r="A20" s="3" t="s">
        <v>877</v>
      </c>
    </row>
    <row r="21" spans="1:7">
      <c r="A21" s="3" t="s">
        <v>1046</v>
      </c>
    </row>
    <row r="22" spans="1:7">
      <c r="A22" s="3" t="s">
        <v>1055</v>
      </c>
    </row>
    <row r="23" spans="1:7">
      <c r="A23" s="3" t="s">
        <v>878</v>
      </c>
    </row>
    <row r="24" spans="1:7">
      <c r="A24" s="3" t="s">
        <v>879</v>
      </c>
    </row>
    <row r="25" spans="1:7">
      <c r="A25" s="3" t="s">
        <v>35</v>
      </c>
    </row>
    <row r="26" spans="1:7">
      <c r="A26" s="6" t="s">
        <v>34</v>
      </c>
    </row>
    <row r="27" spans="1:7">
      <c r="A27" s="6" t="s">
        <v>1056</v>
      </c>
    </row>
    <row r="28" spans="1:7">
      <c r="A28" s="6" t="s">
        <v>1057</v>
      </c>
    </row>
    <row r="29" spans="1:7">
      <c r="A29" s="3" t="s">
        <v>1046</v>
      </c>
    </row>
    <row r="30" spans="1:7">
      <c r="A30" s="3" t="s">
        <v>1055</v>
      </c>
    </row>
    <row r="31" spans="1:7">
      <c r="A31" s="3" t="s">
        <v>1058</v>
      </c>
    </row>
    <row r="32" spans="1:7">
      <c r="A32" s="3" t="s">
        <v>33</v>
      </c>
      <c r="B32" s="4"/>
      <c r="D32" s="4"/>
      <c r="G32" s="5"/>
    </row>
    <row r="33" spans="1:9">
      <c r="A33" s="3" t="s">
        <v>1055</v>
      </c>
      <c r="B33" s="4"/>
      <c r="I33" s="4"/>
    </row>
    <row r="34" spans="1:9">
      <c r="A34" s="3" t="s">
        <v>32</v>
      </c>
      <c r="B34" s="4">
        <v>0.18611111111111112</v>
      </c>
    </row>
    <row r="35" spans="1:9">
      <c r="A35" s="3" t="s">
        <v>880</v>
      </c>
      <c r="B35" s="4">
        <v>0.20138888888888887</v>
      </c>
    </row>
    <row r="36" spans="1:9">
      <c r="A36" s="3" t="s">
        <v>31</v>
      </c>
      <c r="B36" s="4">
        <v>0.23611111111111113</v>
      </c>
    </row>
    <row r="37" spans="1:9">
      <c r="A37" s="3" t="s">
        <v>30</v>
      </c>
      <c r="B37" s="4">
        <v>0.2388888888888889</v>
      </c>
    </row>
    <row r="38" spans="1:9">
      <c r="A38" s="3" t="s">
        <v>29</v>
      </c>
      <c r="B38" s="4">
        <v>0.33263888888888887</v>
      </c>
    </row>
    <row r="39" spans="1:9">
      <c r="A39" s="3" t="s">
        <v>28</v>
      </c>
      <c r="B39" s="4">
        <v>0.36319444444444443</v>
      </c>
    </row>
    <row r="40" spans="1:9">
      <c r="A40" s="3" t="s">
        <v>27</v>
      </c>
      <c r="B40" s="4">
        <v>0.38541666666666669</v>
      </c>
    </row>
    <row r="41" spans="1:9">
      <c r="A41" s="3" t="s">
        <v>26</v>
      </c>
      <c r="B41" s="4">
        <v>0.40625</v>
      </c>
    </row>
    <row r="42" spans="1:9">
      <c r="A42" s="3" t="s">
        <v>25</v>
      </c>
      <c r="B42" s="4">
        <v>0.4909722222222222</v>
      </c>
    </row>
    <row r="43" spans="1:9">
      <c r="A43" s="3" t="s">
        <v>24</v>
      </c>
      <c r="B43" s="4">
        <v>0.51180555555555551</v>
      </c>
    </row>
    <row r="44" spans="1:9">
      <c r="A44" s="3" t="s">
        <v>23</v>
      </c>
      <c r="B44" s="4">
        <v>0.63958333333333328</v>
      </c>
    </row>
    <row r="45" spans="1:9">
      <c r="A45" s="3" t="s">
        <v>22</v>
      </c>
      <c r="B45" s="4">
        <v>0.69305555555555554</v>
      </c>
    </row>
    <row r="46" spans="1:9">
      <c r="A46" s="3" t="s">
        <v>21</v>
      </c>
      <c r="B46" s="4">
        <v>0.74652777777777779</v>
      </c>
    </row>
    <row r="47" spans="1:9">
      <c r="A47" s="3" t="s">
        <v>20</v>
      </c>
      <c r="B47" s="4">
        <v>0.74652777777777779</v>
      </c>
    </row>
    <row r="48" spans="1:9">
      <c r="A48" s="3" t="s">
        <v>19</v>
      </c>
      <c r="B48" s="4">
        <v>0.7583333333333333</v>
      </c>
    </row>
    <row r="49" spans="1:2">
      <c r="A49" s="3" t="s">
        <v>18</v>
      </c>
      <c r="B49" s="4">
        <v>0.79652777777777783</v>
      </c>
    </row>
    <row r="50" spans="1:2">
      <c r="A50" s="3" t="s">
        <v>17</v>
      </c>
      <c r="B50" s="4" t="s">
        <v>1059</v>
      </c>
    </row>
    <row r="51" spans="1:2">
      <c r="A51" s="3" t="s">
        <v>16</v>
      </c>
      <c r="B51" s="4" t="s">
        <v>1060</v>
      </c>
    </row>
    <row r="52" spans="1:2">
      <c r="A52" s="3" t="s">
        <v>15</v>
      </c>
      <c r="B52" s="4" t="s">
        <v>1061</v>
      </c>
    </row>
    <row r="53" spans="1:2">
      <c r="A53" s="3" t="s">
        <v>863</v>
      </c>
      <c r="B53" s="4"/>
    </row>
    <row r="54" spans="1:2">
      <c r="A54" s="3" t="s">
        <v>1062</v>
      </c>
    </row>
    <row r="55" spans="1:2">
      <c r="A55" s="3" t="s">
        <v>1063</v>
      </c>
    </row>
    <row r="56" spans="1:2">
      <c r="A56" s="9" t="s">
        <v>1022</v>
      </c>
    </row>
    <row r="57" spans="1:2">
      <c r="A57" s="3" t="s">
        <v>1064</v>
      </c>
    </row>
    <row r="58" spans="1:2">
      <c r="A58" s="9" t="s">
        <v>1065</v>
      </c>
    </row>
    <row r="59" spans="1:2">
      <c r="A59" s="3" t="s">
        <v>1066</v>
      </c>
    </row>
    <row r="60" spans="1:2">
      <c r="A60" s="15" t="s">
        <v>1067</v>
      </c>
      <c r="B60" s="15"/>
    </row>
    <row r="61" spans="1:2">
      <c r="A61" s="16" t="s">
        <v>1068</v>
      </c>
      <c r="B61" s="16"/>
    </row>
    <row r="62" spans="1:2">
      <c r="A62" s="3" t="s">
        <v>1069</v>
      </c>
    </row>
    <row r="63" spans="1:2">
      <c r="A63" s="3" t="s">
        <v>1070</v>
      </c>
    </row>
    <row r="64" spans="1:2">
      <c r="A64" s="77" t="s">
        <v>1071</v>
      </c>
      <c r="B64" s="13"/>
    </row>
    <row r="66" spans="1:1">
      <c r="A66" s="3" t="s">
        <v>864</v>
      </c>
    </row>
    <row r="67" spans="1:1">
      <c r="A67" s="3" t="s">
        <v>1045</v>
      </c>
    </row>
    <row r="68" spans="1:1">
      <c r="A68" s="3" t="s">
        <v>10</v>
      </c>
    </row>
    <row r="69" spans="1:1">
      <c r="A69" s="3" t="s">
        <v>1072</v>
      </c>
    </row>
    <row r="71" spans="1:1">
      <c r="A71" s="3" t="s">
        <v>865</v>
      </c>
    </row>
    <row r="72" spans="1:1">
      <c r="A72" s="3" t="s">
        <v>1047</v>
      </c>
    </row>
    <row r="73" spans="1:1">
      <c r="A73" s="3" t="s">
        <v>14</v>
      </c>
    </row>
    <row r="74" spans="1:1">
      <c r="A74" s="3" t="s">
        <v>13</v>
      </c>
    </row>
    <row r="75" spans="1:1">
      <c r="A75" s="3" t="s">
        <v>12</v>
      </c>
    </row>
    <row r="76" spans="1:1">
      <c r="A76" s="3" t="s">
        <v>11</v>
      </c>
    </row>
    <row r="77" spans="1:1">
      <c r="A77" s="3" t="s">
        <v>10</v>
      </c>
    </row>
    <row r="78" spans="1:1">
      <c r="A78" s="3" t="s">
        <v>1072</v>
      </c>
    </row>
    <row r="79" spans="1:1">
      <c r="A79" s="3" t="s">
        <v>866</v>
      </c>
    </row>
    <row r="80" spans="1:1">
      <c r="A80" s="3" t="s">
        <v>9</v>
      </c>
    </row>
    <row r="81" spans="1:1">
      <c r="A81" s="3" t="s">
        <v>8</v>
      </c>
    </row>
    <row r="82" spans="1:1">
      <c r="A82" s="3" t="s">
        <v>7</v>
      </c>
    </row>
    <row r="83" spans="1:1">
      <c r="A83" s="3" t="s">
        <v>8</v>
      </c>
    </row>
    <row r="84" spans="1:1">
      <c r="A84" s="3" t="s">
        <v>881</v>
      </c>
    </row>
    <row r="85" spans="1:1">
      <c r="A85" s="3" t="s">
        <v>6</v>
      </c>
    </row>
    <row r="86" spans="1:1">
      <c r="A86" s="3" t="s">
        <v>5</v>
      </c>
    </row>
    <row r="87" spans="1:1">
      <c r="A87" s="3" t="s">
        <v>4</v>
      </c>
    </row>
    <row r="88" spans="1:1">
      <c r="A88" s="3" t="s">
        <v>3</v>
      </c>
    </row>
    <row r="89" spans="1:1">
      <c r="A89" s="3" t="s">
        <v>2</v>
      </c>
    </row>
    <row r="90" spans="1:1">
      <c r="A90"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A5" zoomScaleNormal="100" workbookViewId="0">
      <selection activeCell="C16" sqref="C16"/>
    </sheetView>
  </sheetViews>
  <sheetFormatPr defaultColWidth="9" defaultRowHeight="14.25"/>
  <cols>
    <col min="1" max="1" width="61.75" style="36" bestFit="1" customWidth="1"/>
    <col min="2" max="2" width="22" style="36" customWidth="1"/>
    <col min="3" max="3" width="30" style="36" customWidth="1"/>
    <col min="4" max="4" width="28.75" style="36" customWidth="1"/>
    <col min="5" max="5" width="27.125" style="36" customWidth="1"/>
    <col min="6" max="6" width="29.25" style="36" customWidth="1"/>
    <col min="7" max="7" width="40.125" style="36" customWidth="1"/>
    <col min="8" max="8" width="25.5" style="36" customWidth="1"/>
    <col min="9" max="16384" width="9" style="36"/>
  </cols>
  <sheetData>
    <row r="1" spans="1:8" ht="54.75">
      <c r="A1" s="35" t="str">
        <f>גיליון2!$A$7</f>
        <v>הדלקת נרות: 18:38</v>
      </c>
      <c r="B1" s="35" t="str">
        <f>RIGHT(A1, LEN(A1)-12)</f>
        <v>18:38</v>
      </c>
      <c r="C1" s="70" t="str">
        <f>$B$1</f>
        <v>18:38</v>
      </c>
    </row>
    <row r="2" spans="1:8" ht="54.75">
      <c r="A2" s="35" t="str">
        <f>גיליון2!$A$8</f>
        <v>צאת השבת: 19:35</v>
      </c>
      <c r="B2" s="35" t="str">
        <f>RIGHT(A2, LEN(A2)-10)</f>
        <v>19:35</v>
      </c>
      <c r="C2" s="70" t="str">
        <f>$B$2</f>
        <v>19:35</v>
      </c>
    </row>
    <row r="4" spans="1:8" ht="54.75">
      <c r="A4" s="82">
        <f>גיליון2!$C$4</f>
        <v>0.23611111111111113</v>
      </c>
    </row>
    <row r="6" spans="1:8" ht="38.25" customHeight="1">
      <c r="H6" s="37" t="str">
        <f ca="1">Holidays!$J$15</f>
        <v>יום אחד</v>
      </c>
    </row>
    <row r="13" spans="1:8" ht="16.5">
      <c r="C13" s="42" t="str">
        <f ca="1">גיליון4!Q3</f>
        <v/>
      </c>
    </row>
    <row r="14" spans="1:8" ht="16.5">
      <c r="C14" s="42" t="str">
        <f>VLOOKUP("פרשת השבוע: *",גיליון1!A:A,1,FALSE)</f>
        <v>פרשת השבוע: שמיני</v>
      </c>
    </row>
    <row r="15" spans="1:8" ht="15">
      <c r="C15" s="80" t="str">
        <f>E15</f>
        <v>יום ראשון - י"ז אדר ב' ה'תשע"ט</v>
      </c>
      <c r="D15" s="84" t="str">
        <f>'ממיר תאריך עברי ללועזי'!L2</f>
        <v>יום ראשון - י"ז אדר ב' ה'תשע"ט</v>
      </c>
      <c r="E15" s="49" t="str">
        <f>$D$15</f>
        <v>יום ראשון - י"ז אדר ב' ה'תשע"ט</v>
      </c>
      <c r="F15" s="50" t="str">
        <f>D15</f>
        <v>יום ראשון - י"ז אדר ב' ה'תשע"ט</v>
      </c>
      <c r="G15" s="58" t="str">
        <f>E15</f>
        <v>יום ראשון - י"ז אדר ב' ה'תשע"ט</v>
      </c>
      <c r="H15" s="74" t="str">
        <f>E15</f>
        <v>יום ראשון - י"ז אדר ב' ה'תשע"ט</v>
      </c>
    </row>
    <row r="16" spans="1:8" ht="15">
      <c r="C16" s="81">
        <f ca="1">E16</f>
        <v>43575</v>
      </c>
      <c r="D16" s="51">
        <f ca="1">TODAY()</f>
        <v>43575</v>
      </c>
      <c r="E16" s="52">
        <f ca="1">$D$16</f>
        <v>43575</v>
      </c>
      <c r="F16" s="53">
        <f ca="1">D16</f>
        <v>43575</v>
      </c>
      <c r="G16" s="59">
        <f ca="1">E16</f>
        <v>43575</v>
      </c>
      <c r="H16" s="75">
        <f ca="1">E16</f>
        <v>43575</v>
      </c>
    </row>
    <row r="17" spans="4:6">
      <c r="D17" s="85" t="str">
        <f>D15</f>
        <v>יום ראשון - י"ז אדר ב' ה'תשע"ט</v>
      </c>
    </row>
    <row r="18" spans="4:6">
      <c r="D18" s="86">
        <f ca="1">D16</f>
        <v>43575</v>
      </c>
      <c r="E18" s="38"/>
      <c r="F18" s="39"/>
    </row>
    <row r="19" spans="4:6">
      <c r="E19" s="38"/>
      <c r="F19" s="39"/>
    </row>
    <row r="20" spans="4:6">
      <c r="E20" s="38"/>
      <c r="F20" s="39"/>
    </row>
    <row r="21" spans="4:6">
      <c r="E21" s="38"/>
      <c r="F21" s="39"/>
    </row>
    <row r="22" spans="4:6">
      <c r="E22" s="38"/>
      <c r="F22" s="39"/>
    </row>
    <row r="23" spans="4:6">
      <c r="E23" s="38"/>
      <c r="F23" s="39"/>
    </row>
    <row r="24" spans="4:6">
      <c r="E24" s="38"/>
      <c r="F24" s="39"/>
    </row>
    <row r="25" spans="4:6">
      <c r="E25" s="38"/>
      <c r="F25" s="39"/>
    </row>
    <row r="26" spans="4:6">
      <c r="E26" s="38"/>
      <c r="F26" s="39"/>
    </row>
    <row r="27" spans="4:6">
      <c r="E27" s="38"/>
      <c r="F27" s="39"/>
    </row>
    <row r="28" spans="4:6">
      <c r="E28" s="38"/>
      <c r="F28" s="39"/>
    </row>
    <row r="29" spans="4:6">
      <c r="E29" s="38"/>
      <c r="F29" s="39"/>
    </row>
    <row r="30" spans="4:6">
      <c r="E30" s="38"/>
      <c r="F30" s="39"/>
    </row>
    <row r="31" spans="4:6">
      <c r="E31" s="38"/>
      <c r="F31" s="39"/>
    </row>
    <row r="32" spans="4:6">
      <c r="E32" s="38"/>
      <c r="F32" s="39"/>
    </row>
    <row r="33" spans="5:7">
      <c r="E33" s="38"/>
      <c r="F33" s="39"/>
    </row>
    <row r="34" spans="5:7">
      <c r="E34" s="38"/>
    </row>
    <row r="35" spans="5:7">
      <c r="E35" s="38"/>
    </row>
    <row r="36" spans="5:7">
      <c r="E36" s="38"/>
      <c r="F36" s="39"/>
    </row>
    <row r="37" spans="5:7">
      <c r="F37" s="39"/>
    </row>
    <row r="41" spans="5:7" ht="15">
      <c r="G41" s="40"/>
    </row>
    <row r="43" spans="5:7">
      <c r="F43" s="41"/>
    </row>
    <row r="44" spans="5:7">
      <c r="F44" s="41"/>
    </row>
    <row r="45" spans="5:7">
      <c r="F45" s="41"/>
    </row>
    <row r="46" spans="5:7">
      <c r="F46" s="41"/>
    </row>
    <row r="49" spans="7:7">
      <c r="G49" s="39"/>
    </row>
    <row r="50" spans="7:7">
      <c r="G50" s="39"/>
    </row>
    <row r="51" spans="7:7">
      <c r="G51" s="39"/>
    </row>
    <row r="52" spans="7:7">
      <c r="G52" s="39"/>
    </row>
    <row r="53" spans="7:7">
      <c r="G53" s="39"/>
    </row>
    <row r="54" spans="7:7">
      <c r="G54" s="39"/>
    </row>
    <row r="55" spans="7:7">
      <c r="G55" s="39"/>
    </row>
    <row r="56" spans="7:7">
      <c r="G56" s="39"/>
    </row>
    <row r="57" spans="7:7">
      <c r="G57" s="39"/>
    </row>
    <row r="58" spans="7:7">
      <c r="G58" s="39"/>
    </row>
    <row r="59" spans="7:7">
      <c r="G59" s="39"/>
    </row>
    <row r="60" spans="7:7">
      <c r="G60" s="39"/>
    </row>
    <row r="61" spans="7:7">
      <c r="G61" s="39"/>
    </row>
    <row r="62" spans="7:7">
      <c r="G62" s="39"/>
    </row>
    <row r="63" spans="7:7">
      <c r="G63" s="39"/>
    </row>
    <row r="64" spans="7:7">
      <c r="G64" s="39"/>
    </row>
    <row r="65" spans="7:7">
      <c r="G65" s="39"/>
    </row>
    <row r="111" spans="6:6">
      <c r="F111" s="39"/>
    </row>
    <row r="112" spans="6:6">
      <c r="F112" s="39"/>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80" zoomScaleNormal="80" workbookViewId="0">
      <selection activeCell="B19" sqref="B19:C19"/>
    </sheetView>
  </sheetViews>
  <sheetFormatPr defaultColWidth="9" defaultRowHeight="14.25"/>
  <cols>
    <col min="1" max="1" width="46.25" style="17" bestFit="1" customWidth="1"/>
    <col min="2" max="2" width="23.125" style="17" customWidth="1"/>
    <col min="3" max="3" width="19.25" style="17" bestFit="1" customWidth="1"/>
    <col min="4" max="4" width="9" style="17"/>
    <col min="5" max="5" width="5.375" style="17" bestFit="1" customWidth="1"/>
    <col min="6" max="6" width="18.75" style="17" bestFit="1" customWidth="1"/>
    <col min="7" max="7" width="5.375" style="17" bestFit="1" customWidth="1"/>
    <col min="8" max="8" width="4.125" style="17" customWidth="1"/>
    <col min="9" max="9" width="40.75" style="17" bestFit="1" customWidth="1"/>
    <col min="10" max="10" width="21.75" style="17" customWidth="1"/>
    <col min="11" max="16384" width="9" style="17"/>
  </cols>
  <sheetData>
    <row r="1" spans="1:13">
      <c r="A1" s="91" t="str">
        <f ca="1">VLOOKUP("פרשת השבוע: *",גיליון1!A:A,1,FALSE)&amp;
גיליון4!$Q$2</f>
        <v>פרשת השבוע: שמיני</v>
      </c>
      <c r="B1" s="90" t="str">
        <f>VLOOKUP("יום*",גיליון1!A:A,1,FALSE)</f>
        <v>יום ראשון - י"ז אדר ב' ה'תשע"ט, 24/03/2019</v>
      </c>
      <c r="C1" s="90"/>
      <c r="E1" s="71">
        <f>C13</f>
        <v>0.74652777777777779</v>
      </c>
      <c r="M1" s="17" t="s">
        <v>96</v>
      </c>
    </row>
    <row r="2" spans="1:13" ht="14.25" customHeight="1">
      <c r="A2" s="91"/>
      <c r="B2" s="18" t="s">
        <v>32</v>
      </c>
      <c r="C2" s="19">
        <f>VLOOKUP("עלות השחר",גיליון1!A:B,2,FALSE)</f>
        <v>0.18611111111111112</v>
      </c>
      <c r="E2" s="71">
        <v>1.3888888888888888E-2</v>
      </c>
    </row>
    <row r="3" spans="1:13" ht="14.25" customHeight="1">
      <c r="A3" s="91"/>
      <c r="B3" s="20" t="s">
        <v>97</v>
      </c>
      <c r="C3" s="21">
        <f>C4-((C14-C2)/12)</f>
        <v>0.18842592592592594</v>
      </c>
      <c r="E3" s="72">
        <f>E1-E2</f>
        <v>0.73263888888888895</v>
      </c>
      <c r="F3" s="76" t="str">
        <f>B4</f>
        <v>זריחה</v>
      </c>
      <c r="G3" s="76">
        <f>C4</f>
        <v>0.23611111111111113</v>
      </c>
    </row>
    <row r="4" spans="1:13">
      <c r="A4" s="91"/>
      <c r="B4" s="18" t="s">
        <v>41</v>
      </c>
      <c r="C4" s="19">
        <f>VLOOKUP("sunrise1זריחה מישורית",גיליון1!A:B,2,FALSE)</f>
        <v>0.23611111111111113</v>
      </c>
      <c r="F4" s="76" t="str">
        <f>B6</f>
        <v>סוף זמן קריאת שמע גרא</v>
      </c>
      <c r="G4" s="76">
        <f>C6</f>
        <v>0.36319444444444443</v>
      </c>
    </row>
    <row r="5" spans="1:13" ht="15">
      <c r="A5" s="22" t="str">
        <f>IFERROR(IFERROR(VLOOKUP("המולד*",גיליון1!A:A,1,FALSE),VLOOKUP("פרקי אבות *",גיליון1!A:A,1,FALSE)),"")</f>
        <v>המולד: ליל שישי, בשעה 1 בלילה, 25 דקות ו17 חלקים</v>
      </c>
      <c r="B5" s="20" t="s">
        <v>29</v>
      </c>
      <c r="C5" s="23">
        <f>VLOOKUP("סוף זמן קריאת שמע מג""א",גיליון1!A:B,2,FALSE)</f>
        <v>0.33263888888888887</v>
      </c>
      <c r="F5" s="76" t="str">
        <f>B8</f>
        <v>סוף זמן תפילה גרא</v>
      </c>
      <c r="G5" s="76">
        <f>C8</f>
        <v>0.40625</v>
      </c>
    </row>
    <row r="6" spans="1:13" ht="15">
      <c r="A6" s="24" t="str">
        <f>IFERROR(VLOOKUP("הפטרה (ספרדים)*",גיליון1!A:A,1,FALSE),VLOOKUP("הפטרה*",גיליון1!A:A,1,FALSE))</f>
        <v>הפטרה (ספרדים): בן אדם (יחזקאל לו,טז-לו)</v>
      </c>
      <c r="B6" s="18" t="s">
        <v>28</v>
      </c>
      <c r="C6" s="19">
        <f>VLOOKUP("סוף זמן קריאת שמע גרא",גיליון1!A:B,2,FALSE)</f>
        <v>0.36319444444444443</v>
      </c>
      <c r="F6" s="76" t="str">
        <f>B13</f>
        <v>שקיעה</v>
      </c>
      <c r="G6" s="76">
        <f>C13</f>
        <v>0.74652777777777779</v>
      </c>
    </row>
    <row r="7" spans="1:13" ht="15">
      <c r="A7" s="22" t="str">
        <f>VLOOKUP("הדלקת נרות*",גיליון1!A:A,1,FALSE)</f>
        <v>הדלקת נרות: 18:38</v>
      </c>
      <c r="B7" s="20" t="s">
        <v>27</v>
      </c>
      <c r="C7" s="23">
        <f>VLOOKUP("סוף זמן תפילה מג""א",גיליון1!A:B,2,FALSE)</f>
        <v>0.38541666666666669</v>
      </c>
    </row>
    <row r="8" spans="1:13" ht="15">
      <c r="A8" s="25" t="str">
        <f>VLOOKUP("צאת השבת*",גיליון1!A:A,1,FALSE)</f>
        <v>צאת השבת: 19:35</v>
      </c>
      <c r="B8" s="18" t="s">
        <v>26</v>
      </c>
      <c r="C8" s="19">
        <f>VLOOKUP("סוף זמן תפילה גרא",גיליון1!A:B,2,FALSE)</f>
        <v>0.40625</v>
      </c>
    </row>
    <row r="9" spans="1:13" ht="15">
      <c r="A9" s="22" t="str">
        <f>VLOOKUP("צאת השבת לרבינו תם*",גיליון1!A:A,1,FALSE)</f>
        <v>צאת השבת לרבינו תם: 20:11</v>
      </c>
      <c r="B9" s="20" t="s">
        <v>25</v>
      </c>
      <c r="C9" s="23">
        <f>VLOOKUP("חצות היום והלילה",גיליון1!A:B,2,FALSE)</f>
        <v>0.4909722222222222</v>
      </c>
    </row>
    <row r="10" spans="1:13" ht="15">
      <c r="A10" s="79" t="str">
        <f ca="1">IFERROR(VLOOKUP("מועד",גיליון1!A:B,2,FALSE),Holidays!I5)</f>
        <v>חול המועד פסח</v>
      </c>
      <c r="B10" s="18" t="s">
        <v>24</v>
      </c>
      <c r="C10" s="19">
        <f>VLOOKUP("תחילת זמן מנחה גדולה",גיליון1!A:B,2,FALSE)</f>
        <v>0.51180555555555551</v>
      </c>
    </row>
    <row r="11" spans="1:13">
      <c r="A11" s="95" t="str">
        <f ca="1">גיליון4!$O$13</f>
        <v xml:space="preserve">הלל
אין אומרים תחנון
משיב הרוח ומוריד הגשם
מוריד הטל
ברך עלינו
יעלה ויבוא
</v>
      </c>
      <c r="B11" s="20" t="s">
        <v>23</v>
      </c>
      <c r="C11" s="23">
        <f>VLOOKUP("מנחה קטנה",גיליון1!A:B,2,FALSE)</f>
        <v>0.63958333333333328</v>
      </c>
    </row>
    <row r="12" spans="1:13">
      <c r="A12" s="95"/>
      <c r="B12" s="18" t="s">
        <v>22</v>
      </c>
      <c r="C12" s="19">
        <f>VLOOKUP("פלג המנחה",גיליון1!A:B,2,FALSE)</f>
        <v>0.69305555555555554</v>
      </c>
    </row>
    <row r="13" spans="1:13">
      <c r="A13" s="95"/>
      <c r="B13" s="20" t="s">
        <v>40</v>
      </c>
      <c r="C13" s="23">
        <f>VLOOKUP("fog-sunשקיעה מישורית",גיליון1!A:B,2,FALSE)</f>
        <v>0.74652777777777779</v>
      </c>
    </row>
    <row r="14" spans="1:13">
      <c r="A14" s="95"/>
      <c r="B14" s="18" t="s">
        <v>39</v>
      </c>
      <c r="C14" s="19">
        <f>VLOOKUP("nightצאת הכוכבים",גיליון1!A:B,2,FALSE)</f>
        <v>0.7583333333333333</v>
      </c>
    </row>
    <row r="15" spans="1:13">
      <c r="A15" s="95"/>
      <c r="B15" s="20" t="s">
        <v>18</v>
      </c>
      <c r="C15" s="23">
        <f>VLOOKUP("צאת הכוכבים לרבנו תם",גיליון1!A:B,2,FALSE)</f>
        <v>0.79652777777777783</v>
      </c>
    </row>
    <row r="16" spans="1:13">
      <c r="A16" s="95"/>
      <c r="B16" s="18" t="s">
        <v>17</v>
      </c>
      <c r="C16" s="19" t="str">
        <f>VLOOKUP("דף יומי בבלי",גיליון1!A:B,2,FALSE)</f>
        <v>חולין קי"ז</v>
      </c>
    </row>
    <row r="17" spans="1:3">
      <c r="A17" s="95"/>
      <c r="B17" s="20" t="s">
        <v>16</v>
      </c>
      <c r="C17" s="23" t="str">
        <f>VLOOKUP("דף יומי ירושלמי",גיליון1!A:B,2,FALSE)</f>
        <v>תרומות י"ח</v>
      </c>
    </row>
    <row r="18" spans="1:3" ht="15" customHeight="1">
      <c r="A18" s="95"/>
      <c r="B18" s="18" t="s">
        <v>15</v>
      </c>
      <c r="C18" s="19" t="str">
        <f>VLOOKUP("רמבם יומי",גיליון1!A:B,2,FALSE)</f>
        <v>הלכות קרבן פסח ט'</v>
      </c>
    </row>
    <row r="19" spans="1:3">
      <c r="A19" s="26"/>
      <c r="B19" s="92" t="str">
        <f ca="1">Holidays!$J$15</f>
        <v>יום אחד</v>
      </c>
      <c r="C19" s="92"/>
    </row>
    <row r="20" spans="1:3">
      <c r="A20" s="26"/>
      <c r="C20" s="23"/>
    </row>
    <row r="21" spans="1:3">
      <c r="B21" s="27"/>
      <c r="C21" s="23"/>
    </row>
    <row r="22" spans="1:3">
      <c r="A22" s="93" t="str">
        <f ca="1">$A$1</f>
        <v>פרשת השבוע: שמיני</v>
      </c>
      <c r="B22" s="94" t="str">
        <f t="shared" ref="B22:B39" si="0">B1</f>
        <v>יום ראשון - י"ז אדר ב' ה'תשע"ט, 24/03/2019</v>
      </c>
      <c r="C22" s="94"/>
    </row>
    <row r="23" spans="1:3">
      <c r="A23" s="93"/>
      <c r="B23" s="28" t="str">
        <f t="shared" si="0"/>
        <v>עלות השחר</v>
      </c>
      <c r="C23" s="29">
        <f t="shared" ref="C23:C39" si="1">C2</f>
        <v>0.18611111111111112</v>
      </c>
    </row>
    <row r="24" spans="1:3">
      <c r="A24" s="93"/>
      <c r="B24" s="66" t="str">
        <f t="shared" si="0"/>
        <v>ציצית ותפילין</v>
      </c>
      <c r="C24" s="30">
        <f t="shared" si="1"/>
        <v>0.18842592592592594</v>
      </c>
    </row>
    <row r="25" spans="1:3">
      <c r="A25" s="93"/>
      <c r="B25" s="28" t="str">
        <f t="shared" si="0"/>
        <v>זריחה</v>
      </c>
      <c r="C25" s="29">
        <f t="shared" si="1"/>
        <v>0.23611111111111113</v>
      </c>
    </row>
    <row r="26" spans="1:3" ht="15">
      <c r="A26" s="31" t="str">
        <f t="shared" ref="A26:A31" si="2">A5</f>
        <v>המולד: ליל שישי, בשעה 1 בלילה, 25 דקות ו17 חלקים</v>
      </c>
      <c r="B26" s="66" t="str">
        <f t="shared" si="0"/>
        <v>סוף זמן קריאת שמע מג"א</v>
      </c>
      <c r="C26" s="30">
        <f t="shared" si="1"/>
        <v>0.33263888888888887</v>
      </c>
    </row>
    <row r="27" spans="1:3" ht="15">
      <c r="A27" s="32" t="str">
        <f t="shared" si="2"/>
        <v>הפטרה (ספרדים): בן אדם (יחזקאל לו,טז-לו)</v>
      </c>
      <c r="B27" s="28" t="str">
        <f t="shared" si="0"/>
        <v>סוף זמן קריאת שמע גרא</v>
      </c>
      <c r="C27" s="29">
        <f t="shared" si="1"/>
        <v>0.36319444444444443</v>
      </c>
    </row>
    <row r="28" spans="1:3" ht="15">
      <c r="A28" s="31" t="str">
        <f t="shared" si="2"/>
        <v>הדלקת נרות: 18:38</v>
      </c>
      <c r="B28" s="66" t="str">
        <f t="shared" si="0"/>
        <v>סוף זמן תפילה מג"א</v>
      </c>
      <c r="C28" s="30">
        <f t="shared" si="1"/>
        <v>0.38541666666666669</v>
      </c>
    </row>
    <row r="29" spans="1:3" ht="15">
      <c r="A29" s="32" t="str">
        <f t="shared" si="2"/>
        <v>צאת השבת: 19:35</v>
      </c>
      <c r="B29" s="28" t="str">
        <f t="shared" si="0"/>
        <v>סוף זמן תפילה גרא</v>
      </c>
      <c r="C29" s="29">
        <f t="shared" si="1"/>
        <v>0.40625</v>
      </c>
    </row>
    <row r="30" spans="1:3" ht="15">
      <c r="A30" s="31" t="str">
        <f t="shared" si="2"/>
        <v>צאת השבת לרבינו תם: 20:11</v>
      </c>
      <c r="B30" s="66" t="str">
        <f t="shared" si="0"/>
        <v>חצות היום והלילה</v>
      </c>
      <c r="C30" s="30">
        <f t="shared" si="1"/>
        <v>0.4909722222222222</v>
      </c>
    </row>
    <row r="31" spans="1:3" ht="15">
      <c r="A31" s="48" t="str">
        <f t="shared" ca="1" si="2"/>
        <v>חול המועד פסח</v>
      </c>
      <c r="B31" s="28" t="str">
        <f t="shared" si="0"/>
        <v>תחילת זמן מנחה גדולה</v>
      </c>
      <c r="C31" s="29">
        <f t="shared" si="1"/>
        <v>0.51180555555555551</v>
      </c>
    </row>
    <row r="32" spans="1:3">
      <c r="A32" s="96" t="str">
        <f ca="1">$A$11</f>
        <v xml:space="preserve">הלל
אין אומרים תחנון
משיב הרוח ומוריד הגשם
מוריד הטל
ברך עלינו
יעלה ויבוא
</v>
      </c>
      <c r="B32" s="66" t="str">
        <f t="shared" si="0"/>
        <v>מנחה קטנה</v>
      </c>
      <c r="C32" s="30">
        <f t="shared" si="1"/>
        <v>0.63958333333333328</v>
      </c>
    </row>
    <row r="33" spans="1:3">
      <c r="A33" s="96"/>
      <c r="B33" s="28" t="str">
        <f t="shared" si="0"/>
        <v>פלג המנחה</v>
      </c>
      <c r="C33" s="29">
        <f t="shared" si="1"/>
        <v>0.69305555555555554</v>
      </c>
    </row>
    <row r="34" spans="1:3">
      <c r="A34" s="96"/>
      <c r="B34" s="66" t="str">
        <f t="shared" si="0"/>
        <v>שקיעה</v>
      </c>
      <c r="C34" s="30">
        <f t="shared" si="1"/>
        <v>0.74652777777777779</v>
      </c>
    </row>
    <row r="35" spans="1:3">
      <c r="A35" s="96"/>
      <c r="B35" s="28" t="str">
        <f t="shared" si="0"/>
        <v>צאת הכוכבים</v>
      </c>
      <c r="C35" s="29">
        <f t="shared" si="1"/>
        <v>0.7583333333333333</v>
      </c>
    </row>
    <row r="36" spans="1:3">
      <c r="A36" s="96"/>
      <c r="B36" s="66" t="str">
        <f t="shared" si="0"/>
        <v>צאת הכוכבים לרבנו תם</v>
      </c>
      <c r="C36" s="30">
        <f t="shared" si="1"/>
        <v>0.79652777777777783</v>
      </c>
    </row>
    <row r="37" spans="1:3">
      <c r="A37" s="96"/>
      <c r="B37" s="28" t="str">
        <f t="shared" si="0"/>
        <v>דף יומי בבלי</v>
      </c>
      <c r="C37" s="29" t="str">
        <f t="shared" si="1"/>
        <v>חולין קי"ז</v>
      </c>
    </row>
    <row r="38" spans="1:3">
      <c r="A38" s="96"/>
      <c r="B38" s="66" t="str">
        <f t="shared" si="0"/>
        <v>דף יומי ירושלמי</v>
      </c>
      <c r="C38" s="30" t="str">
        <f t="shared" si="1"/>
        <v>תרומות י"ח</v>
      </c>
    </row>
    <row r="39" spans="1:3">
      <c r="A39" s="96"/>
      <c r="B39" s="28" t="str">
        <f t="shared" si="0"/>
        <v>רמבם יומי</v>
      </c>
      <c r="C39" s="33" t="str">
        <f t="shared" si="1"/>
        <v>הלכות קרבן פסח ט'</v>
      </c>
    </row>
    <row r="40" spans="1:3" ht="14.25" customHeight="1">
      <c r="A40" s="26"/>
      <c r="B40" s="89" t="str">
        <f ca="1">B19</f>
        <v>יום אחד</v>
      </c>
      <c r="C40" s="89"/>
    </row>
    <row r="41" spans="1:3">
      <c r="A41" s="34"/>
      <c r="B41" s="34"/>
      <c r="C41" s="34"/>
    </row>
    <row r="42" spans="1:3">
      <c r="A42" s="34"/>
      <c r="B42" s="34"/>
      <c r="C42" s="34"/>
    </row>
    <row r="43" spans="1:3">
      <c r="A43" s="34"/>
      <c r="B43" s="34"/>
      <c r="C43" s="34"/>
    </row>
    <row r="44" spans="1:3">
      <c r="A44" s="34"/>
      <c r="B44" s="34"/>
      <c r="C44" s="34"/>
    </row>
    <row r="45" spans="1:3" ht="15">
      <c r="A45" s="22"/>
      <c r="B45" s="20"/>
      <c r="C45" s="23"/>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Q421"/>
  <sheetViews>
    <sheetView rightToLeft="1" tabSelected="1" topLeftCell="A240" zoomScale="80" zoomScaleNormal="80" workbookViewId="0">
      <selection activeCell="E257" sqref="E257:E306"/>
    </sheetView>
  </sheetViews>
  <sheetFormatPr defaultRowHeight="14.25"/>
  <cols>
    <col min="2" max="2" width="13" customWidth="1"/>
    <col min="3" max="3" width="9" customWidth="1"/>
    <col min="4" max="4" width="8.75" customWidth="1"/>
    <col min="5" max="5" width="10.75" bestFit="1" customWidth="1"/>
    <col min="6" max="6" width="15.625" customWidth="1"/>
    <col min="7" max="7" width="11.25" customWidth="1"/>
    <col min="8" max="8" width="11" customWidth="1"/>
    <col min="9" max="9" width="17.75" customWidth="1"/>
    <col min="10" max="10" width="17.25" customWidth="1"/>
    <col min="11" max="11" width="14.75" bestFit="1" customWidth="1"/>
    <col min="13" max="13" width="8.75"/>
    <col min="14" max="14" width="13" customWidth="1"/>
    <col min="15" max="15" width="10.5" bestFit="1" customWidth="1"/>
  </cols>
  <sheetData>
    <row r="1" spans="1:17">
      <c r="A1" s="13" t="s">
        <v>813</v>
      </c>
      <c r="B1" s="13" t="s">
        <v>818</v>
      </c>
      <c r="C1" s="13" t="s">
        <v>0</v>
      </c>
      <c r="D1" s="13" t="s">
        <v>850</v>
      </c>
      <c r="E1" s="13" t="s">
        <v>1042</v>
      </c>
      <c r="F1" s="13" t="s">
        <v>815</v>
      </c>
      <c r="G1" s="13" t="s">
        <v>40</v>
      </c>
      <c r="H1" s="13" t="s">
        <v>816</v>
      </c>
      <c r="I1" s="13" t="s">
        <v>817</v>
      </c>
      <c r="J1" s="13" t="s">
        <v>1019</v>
      </c>
      <c r="K1" s="13" t="s">
        <v>814</v>
      </c>
      <c r="M1" s="13" t="s">
        <v>813</v>
      </c>
      <c r="N1" s="13" t="s">
        <v>818</v>
      </c>
    </row>
    <row r="2" spans="1:17">
      <c r="A2" s="46" t="s">
        <v>458</v>
      </c>
      <c r="B2" s="45" t="s">
        <v>218</v>
      </c>
      <c r="C2" t="b">
        <f ca="1">OR(AND(ISNUMBER(SEARCH(B420,I2)),H2&gt;G2),(AND(ISNUMBER(SEARCH(B2,I2)),H2&lt;G2)))</f>
        <v>0</v>
      </c>
      <c r="D2" s="13" t="s">
        <v>851</v>
      </c>
      <c r="F2" t="str">
        <f ca="1">IF(ISNA(VLOOKUP(B2,J3:J9,1,FALSE)), "FALSE", "TRUE")</f>
        <v>FALSE</v>
      </c>
      <c r="G2" s="44">
        <f>גיליון2!$C$13</f>
        <v>0.74652777777777779</v>
      </c>
      <c r="H2" s="44">
        <f ca="1">NOW()-TODAY()</f>
        <v>0.87010844907490537</v>
      </c>
      <c r="I2" s="13" t="str">
        <f ca="1">TEXT(TODAY(),"[$-he-IL,8]mmmm dd;@")</f>
        <v>ניסן 15</v>
      </c>
      <c r="J2" s="43">
        <f ca="1">TODAY()-WEEKDAY(TODAY())+1</f>
        <v>43569</v>
      </c>
      <c r="K2" s="13" t="s">
        <v>819</v>
      </c>
      <c r="M2" s="46" t="s">
        <v>458</v>
      </c>
      <c r="N2" s="45" t="s">
        <v>218</v>
      </c>
      <c r="O2" s="13" t="s">
        <v>1019</v>
      </c>
    </row>
    <row r="3" spans="1:17">
      <c r="A3" t="s">
        <v>460</v>
      </c>
      <c r="B3" s="45" t="s">
        <v>219</v>
      </c>
      <c r="C3" t="b">
        <f ca="1">OR(AND(ISNUMBER(SEARCH(B2,I2)),H2&gt;G2),(AND(ISNUMBER(SEARCH(B3,I2)),H2&lt;G2)))</f>
        <v>0</v>
      </c>
      <c r="D3" s="13" t="s">
        <v>851</v>
      </c>
      <c r="F3" t="str">
        <f ca="1">IF(ISNA(VLOOKUP(B3,J3:J9,1,FALSE)), "FALSE", "TRUE")</f>
        <v>FALSE</v>
      </c>
      <c r="I3" s="45" t="s">
        <v>862</v>
      </c>
      <c r="J3" s="65" t="str">
        <f ca="1">TEXT(J2,"[$-he-IL,8]mmmm dd;@")</f>
        <v>ניסן 09</v>
      </c>
      <c r="K3" s="13" t="s">
        <v>819</v>
      </c>
      <c r="M3" t="s">
        <v>460</v>
      </c>
      <c r="N3" s="45" t="s">
        <v>219</v>
      </c>
      <c r="O3" s="43">
        <f ca="1">TODAY()-WEEKDAY(TODAY())+1</f>
        <v>43569</v>
      </c>
    </row>
    <row r="4" spans="1:17">
      <c r="A4" t="s">
        <v>461</v>
      </c>
      <c r="B4" s="45" t="s">
        <v>220</v>
      </c>
      <c r="C4" t="b">
        <f ca="1">OR(AND(ISNUMBER(SEARCH(B3,I2)),H2&gt;G2),(AND(ISNUMBER(SEARCH(B4,I2)),H2&lt;G2)))</f>
        <v>0</v>
      </c>
      <c r="F4" t="str">
        <f ca="1">IF(ISNA(VLOOKUP(B4,J3:J9,1,FALSE)), "FALSE", "TRUE")</f>
        <v>FALSE</v>
      </c>
      <c r="H4" s="13" t="s">
        <v>1034</v>
      </c>
      <c r="I4" t="str">
        <f ca="1">IFERROR(VLOOKUP("TRUE",H11:J13,3,FALSE),VLOOKUP(TRUE,C:D,2,FALSE))</f>
        <v>Pesach</v>
      </c>
      <c r="J4" s="43" t="str">
        <f ca="1">TEXT(J2+1,"[$-he-IL,8]mmmm dd;@")</f>
        <v>ניסן 10</v>
      </c>
      <c r="M4" t="s">
        <v>461</v>
      </c>
      <c r="N4" s="45" t="s">
        <v>220</v>
      </c>
      <c r="O4" s="65" t="str">
        <f ca="1">TEXT(O3,"[$-he-IL,8]mmmm dd;@")</f>
        <v>ניסן 09</v>
      </c>
      <c r="P4" t="b">
        <f ca="1">OR(ISNUMBER(SEARCH("01",O4)),ISNUMBER(SEARCH("30",O4)))</f>
        <v>0</v>
      </c>
      <c r="Q4" s="13" t="s">
        <v>1052</v>
      </c>
    </row>
    <row r="5" spans="1:17">
      <c r="A5" t="s">
        <v>462</v>
      </c>
      <c r="B5" s="45" t="s">
        <v>221</v>
      </c>
      <c r="C5" t="b">
        <f ca="1">OR(AND(ISNUMBER(SEARCH(B4,I2)),H2&gt;G2),(AND(ISNUMBER(SEARCH(B5,I2)),H2&lt;G2)))</f>
        <v>0</v>
      </c>
      <c r="F5" t="str">
        <f ca="1">IF(ISNA(VLOOKUP(B5,J3:J9,1,FALSE)), "FALSE", "TRUE")</f>
        <v>FALSE</v>
      </c>
      <c r="H5" s="13" t="s">
        <v>1035</v>
      </c>
      <c r="I5" t="str">
        <f ca="1">IFERROR(VLOOKUP(TRUE,C:K,9,FALSE),"")</f>
        <v>חול המועד פסח</v>
      </c>
      <c r="J5" s="43" t="str">
        <f ca="1">TEXT(J2+2,"[$-he-IL,8]mmmm dd;@")</f>
        <v>ניסן 11</v>
      </c>
      <c r="M5" t="s">
        <v>462</v>
      </c>
      <c r="N5" s="45" t="s">
        <v>221</v>
      </c>
      <c r="O5" s="43" t="str">
        <f ca="1">TEXT(O3+1,"[$-he-IL,8]mmmm dd;@")</f>
        <v>ניסן 10</v>
      </c>
      <c r="P5" t="b">
        <f t="shared" ref="P5:P11" ca="1" si="0">OR(ISNUMBER(SEARCH("01",O5)),ISNUMBER(SEARCH("30",O5)))</f>
        <v>0</v>
      </c>
      <c r="Q5" s="13" t="s">
        <v>1053</v>
      </c>
    </row>
    <row r="6" spans="1:17">
      <c r="A6" t="s">
        <v>463</v>
      </c>
      <c r="B6" s="45" t="s">
        <v>222</v>
      </c>
      <c r="C6" t="b">
        <f ca="1">OR(AND(ISNUMBER(SEARCH(B5,I2)),H2&gt;G2),(AND(ISNUMBER(SEARCH(B6,I2)),H2&lt;G2)))</f>
        <v>0</v>
      </c>
      <c r="F6" t="str">
        <f ca="1">IF(ISNA(VLOOKUP(B6,J3:J9,1,FALSE)), "FALSE", "TRUE")</f>
        <v>FALSE</v>
      </c>
      <c r="H6" s="13" t="s">
        <v>1043</v>
      </c>
      <c r="I6" t="b">
        <f ca="1">ISNUMBER(SEARCH("01",I2))</f>
        <v>0</v>
      </c>
      <c r="J6" s="43" t="str">
        <f ca="1">TEXT(J2+3,"[$-he-IL,8]mmmm dd;@")</f>
        <v>ניסן 12</v>
      </c>
      <c r="M6" t="s">
        <v>463</v>
      </c>
      <c r="N6" s="45" t="s">
        <v>222</v>
      </c>
      <c r="O6" s="43" t="str">
        <f ca="1">TEXT(O3+2,"[$-he-IL,8]mmmm dd;@")</f>
        <v>ניסן 11</v>
      </c>
      <c r="P6" t="b">
        <f t="shared" ca="1" si="0"/>
        <v>0</v>
      </c>
      <c r="Q6" s="13" t="s">
        <v>1054</v>
      </c>
    </row>
    <row r="7" spans="1:17">
      <c r="A7" t="s">
        <v>464</v>
      </c>
      <c r="B7" s="45" t="s">
        <v>223</v>
      </c>
      <c r="C7" t="b">
        <f ca="1">OR(AND(ISNUMBER(SEARCH(B6,I2)),H2&gt;G2),(AND(ISNUMBER(SEARCH(B7,I2)),H2&lt;G2)))</f>
        <v>0</v>
      </c>
      <c r="F7" t="str">
        <f ca="1">IF(ISNA(VLOOKUP(B7,J3:J9,1,FALSE)), "FALSE", "TRUE")</f>
        <v>FALSE</v>
      </c>
      <c r="H7" s="13" t="s">
        <v>1044</v>
      </c>
      <c r="I7" t="b">
        <f ca="1">ISNUMBER(SEARCH("02",I2))</f>
        <v>0</v>
      </c>
      <c r="J7" s="43" t="str">
        <f ca="1">TEXT(J2+4,"[$-he-IL,8]mmmm dd;@")</f>
        <v>ניסן 13</v>
      </c>
      <c r="K7" s="78"/>
      <c r="M7" t="s">
        <v>464</v>
      </c>
      <c r="N7" s="45" t="s">
        <v>223</v>
      </c>
      <c r="O7" s="43" t="str">
        <f ca="1">TEXT(O3+3,"[$-he-IL,8]mmmm dd;@")</f>
        <v>ניסן 12</v>
      </c>
      <c r="P7" t="b">
        <f t="shared" ca="1" si="0"/>
        <v>0</v>
      </c>
      <c r="Q7" s="13" t="s">
        <v>1048</v>
      </c>
    </row>
    <row r="8" spans="1:17">
      <c r="A8" t="s">
        <v>465</v>
      </c>
      <c r="B8" s="45" t="s">
        <v>224</v>
      </c>
      <c r="C8" t="b">
        <f ca="1">OR(AND(ISNUMBER(SEARCH(B7,I2)),H2&gt;G2),(AND(ISNUMBER(SEARCH(B8,I2)),H2&lt;G2)))</f>
        <v>0</v>
      </c>
      <c r="F8" t="str">
        <f ca="1">IF(ISNA(VLOOKUP(B8,J3:J9,1,FALSE)), "FALSE", "TRUE")</f>
        <v>FALSE</v>
      </c>
      <c r="J8" s="43" t="str">
        <f ca="1">TEXT(J2+5,"[$-he-IL,8]mmmm dd;@")</f>
        <v>ניסן 14</v>
      </c>
      <c r="M8" t="s">
        <v>465</v>
      </c>
      <c r="N8" s="45" t="s">
        <v>224</v>
      </c>
      <c r="O8" s="43" t="str">
        <f ca="1">TEXT(O3+4,"[$-he-IL,8]mmmm dd;@")</f>
        <v>ניסן 13</v>
      </c>
      <c r="P8" t="b">
        <f t="shared" ca="1" si="0"/>
        <v>0</v>
      </c>
      <c r="Q8" s="13" t="s">
        <v>1049</v>
      </c>
    </row>
    <row r="9" spans="1:17">
      <c r="A9" t="s">
        <v>466</v>
      </c>
      <c r="B9" s="45" t="s">
        <v>225</v>
      </c>
      <c r="C9" t="b">
        <f ca="1">OR(AND(ISNUMBER(SEARCH(B8,I2)),H2&gt;G2),(AND(ISNUMBER(SEARCH(B9,I2)),H2&lt;G2)))</f>
        <v>0</v>
      </c>
      <c r="F9" t="str">
        <f ca="1">IF(ISNA(VLOOKUP(B9,J3:J9,1,FALSE)), "FALSE", "TRUE")</f>
        <v>FALSE</v>
      </c>
      <c r="J9" s="43" t="str">
        <f ca="1">TEXT(J2+6,"[$-he-IL,8]mmmm dd;@")</f>
        <v>ניסן 15</v>
      </c>
      <c r="M9" t="s">
        <v>466</v>
      </c>
      <c r="N9" s="45" t="s">
        <v>225</v>
      </c>
      <c r="O9" s="43" t="str">
        <f ca="1">TEXT(O3+5,"[$-he-IL,8]mmmm dd;@")</f>
        <v>ניסן 14</v>
      </c>
      <c r="P9" t="b">
        <f t="shared" ca="1" si="0"/>
        <v>0</v>
      </c>
      <c r="Q9" s="13" t="s">
        <v>1050</v>
      </c>
    </row>
    <row r="10" spans="1:17">
      <c r="A10" t="s">
        <v>467</v>
      </c>
      <c r="B10" s="45" t="s">
        <v>226</v>
      </c>
      <c r="C10" t="b">
        <f ca="1">OR(AND(ISNUMBER(SEARCH(B9,I2)),H2&gt;G2),(AND(ISNUMBER(SEARCH(B10,I2)),H2&lt;G2)))</f>
        <v>0</v>
      </c>
      <c r="D10" s="13" t="s">
        <v>852</v>
      </c>
      <c r="F10" t="str">
        <f ca="1">IF(ISNA(VLOOKUP(B10,J3:J9,1,FALSE)), "FALSE", "TRUE")</f>
        <v>FALSE</v>
      </c>
      <c r="I10" s="13"/>
      <c r="J10" s="43"/>
      <c r="K10" s="13" t="s">
        <v>821</v>
      </c>
      <c r="M10" t="s">
        <v>467</v>
      </c>
      <c r="N10" s="45" t="s">
        <v>226</v>
      </c>
      <c r="O10" s="43" t="str">
        <f ca="1">TEXT(O3+6,"[$-he-IL,8]mmmm dd;@")</f>
        <v>ניסן 15</v>
      </c>
      <c r="P10" t="b">
        <f t="shared" ca="1" si="0"/>
        <v>0</v>
      </c>
      <c r="Q10" s="13" t="s">
        <v>1051</v>
      </c>
    </row>
    <row r="11" spans="1:17">
      <c r="A11" t="s">
        <v>468</v>
      </c>
      <c r="B11" s="45" t="s">
        <v>227</v>
      </c>
      <c r="C11" t="b">
        <f ca="1">OR(AND(ISNUMBER(SEARCH(B10,I2)),H2&gt;G2),(AND(ISNUMBER(SEARCH(B11,I2)),H2&lt;G2)))</f>
        <v>0</v>
      </c>
      <c r="D11" s="13" t="s">
        <v>852</v>
      </c>
      <c r="F11" t="str">
        <f ca="1">IF(ISNA(VLOOKUP(B11,J3:J9,1,FALSE)), "FALSE", "TRUE")</f>
        <v>FALSE</v>
      </c>
      <c r="G11" s="45"/>
      <c r="H11" s="13" t="str">
        <f ca="1">IF(ISNUMBER(SEARCH("העצמאות",גיליון2!A10)),"TRUE","FALSE")</f>
        <v>FALSE</v>
      </c>
      <c r="I11" s="13" t="s">
        <v>1040</v>
      </c>
      <c r="J11" s="13" t="s">
        <v>1037</v>
      </c>
      <c r="K11" s="13" t="s">
        <v>820</v>
      </c>
      <c r="M11" t="s">
        <v>468</v>
      </c>
      <c r="N11" s="45" t="s">
        <v>227</v>
      </c>
      <c r="O11" s="43" t="str">
        <f ca="1">TEXT(O3+6,"[$-he-IL,8]mmmm dd;@")</f>
        <v>ניסן 15</v>
      </c>
      <c r="P11" t="b">
        <f t="shared" ca="1" si="0"/>
        <v>0</v>
      </c>
      <c r="Q11" s="13" t="s">
        <v>1052</v>
      </c>
    </row>
    <row r="12" spans="1:17">
      <c r="A12" t="s">
        <v>469</v>
      </c>
      <c r="B12" s="45" t="s">
        <v>228</v>
      </c>
      <c r="C12" t="b">
        <f ca="1">OR(AND(ISNUMBER(SEARCH(B11,I2)),H2&gt;G2),(AND(ISNUMBER(SEARCH(B12,I2)),H2&lt;G2)))</f>
        <v>0</v>
      </c>
      <c r="F12" t="str">
        <f ca="1">IF(ISNA(VLOOKUP(B12,J3:J9,1,FALSE)), "FALSE", "TRUE")</f>
        <v>FALSE</v>
      </c>
      <c r="G12" s="45"/>
      <c r="H12" s="13" t="str">
        <f ca="1">IF(ISNUMBER(SEARCH("תשעה",גיליון2!A10)),"TRUE","FALSE")</f>
        <v>FALSE</v>
      </c>
      <c r="I12" s="13" t="s">
        <v>1041</v>
      </c>
      <c r="J12" s="13" t="s">
        <v>1038</v>
      </c>
      <c r="M12" t="s">
        <v>469</v>
      </c>
      <c r="N12" s="45" t="s">
        <v>228</v>
      </c>
    </row>
    <row r="13" spans="1:17">
      <c r="A13" t="s">
        <v>470</v>
      </c>
      <c r="B13" s="45" t="s">
        <v>229</v>
      </c>
      <c r="C13" t="b">
        <f ca="1">OR(AND(ISNUMBER(SEARCH(B12,I2)),H2&gt;G2),(AND(ISNUMBER(SEARCH(B13,I2)),H2&lt;G2)))</f>
        <v>0</v>
      </c>
      <c r="F13" t="str">
        <f ca="1">IF(ISNA(VLOOKUP(B13,J3:J9,1,FALSE)), "FALSE", "TRUE")</f>
        <v>FALSE</v>
      </c>
      <c r="G13" s="45"/>
      <c r="H13" s="13" t="str">
        <f ca="1">IF(ISNUMBER(SEARCH("צום",גיליון2!A10)),"TRUE","FALSE")</f>
        <v>FALSE</v>
      </c>
      <c r="I13" s="13" t="s">
        <v>1036</v>
      </c>
      <c r="J13" s="13" t="s">
        <v>1039</v>
      </c>
      <c r="M13" t="s">
        <v>470</v>
      </c>
      <c r="N13" s="45" t="s">
        <v>229</v>
      </c>
      <c r="O13" t="str">
        <f ca="1">IFERROR(VLOOKUP(TRUE,P4:Q11,2,FALSE),"")</f>
        <v/>
      </c>
    </row>
    <row r="14" spans="1:17">
      <c r="A14" t="s">
        <v>471</v>
      </c>
      <c r="B14" s="45" t="s">
        <v>230</v>
      </c>
      <c r="C14" t="b">
        <f ca="1">OR(AND(ISNUMBER(SEARCH(B13,I2)),H2&gt;G2),(AND(ISNUMBER(SEARCH(B14,I2)),H2&lt;G2)))</f>
        <v>0</v>
      </c>
      <c r="F14" t="str">
        <f ca="1">IF(ISNA(VLOOKUP(B14,J3:J9,1,FALSE)), "FALSE", "TRUE")</f>
        <v>FALSE</v>
      </c>
      <c r="G14" s="45"/>
      <c r="J14" s="13" t="s">
        <v>1042</v>
      </c>
      <c r="M14" t="s">
        <v>471</v>
      </c>
      <c r="N14" s="45" t="s">
        <v>230</v>
      </c>
      <c r="O14" s="87">
        <f ca="1">COUNTIF(P4:P11,TRUE)</f>
        <v>0</v>
      </c>
      <c r="P14" t="e">
        <f ca="1">VLOOKUP(30,O4:Q11,3,FALSE)</f>
        <v>#N/A</v>
      </c>
    </row>
    <row r="15" spans="1:17" ht="18">
      <c r="A15" t="s">
        <v>472</v>
      </c>
      <c r="B15" s="45" t="s">
        <v>231</v>
      </c>
      <c r="C15" t="b">
        <f ca="1">OR(AND(ISNUMBER(SEARCH(B14,I2)),H2&gt;G2),(AND(ISNUMBER(SEARCH(B15,I2)),H2&lt;G2)))</f>
        <v>0</v>
      </c>
      <c r="D15" s="13" t="s">
        <v>853</v>
      </c>
      <c r="F15" t="str">
        <f ca="1">IF(ISNA(VLOOKUP(B15,J3:J9,1,FALSE)), "FALSE", "TRUE")</f>
        <v>FALSE</v>
      </c>
      <c r="G15" s="45"/>
      <c r="J15" s="8" t="str">
        <f ca="1">IFERROR(VLOOKUP(TRUE,C:E,3,FALSE),"")</f>
        <v>יום אחד</v>
      </c>
      <c r="K15" s="13" t="s">
        <v>822</v>
      </c>
      <c r="M15" t="s">
        <v>472</v>
      </c>
      <c r="N15" s="45" t="s">
        <v>231</v>
      </c>
      <c r="O15" t="str">
        <f ca="1">IF(O14=2,O13,"")</f>
        <v/>
      </c>
    </row>
    <row r="16" spans="1:17">
      <c r="A16" t="s">
        <v>473</v>
      </c>
      <c r="B16" s="45" t="s">
        <v>232</v>
      </c>
      <c r="C16" t="b">
        <f ca="1">OR(AND(ISNUMBER(SEARCH(B15,I2)),H2&gt;G2),(AND(ISNUMBER(SEARCH(B16,I2)),H2&lt;G2)))</f>
        <v>0</v>
      </c>
      <c r="D16" s="13" t="s">
        <v>853</v>
      </c>
      <c r="F16" t="str">
        <f ca="1">IF(ISNA(VLOOKUP(B16,J3:J9,1,FALSE)), "FALSE", "TRUE")</f>
        <v>FALSE</v>
      </c>
      <c r="G16" s="45"/>
      <c r="K16" s="13" t="s">
        <v>823</v>
      </c>
      <c r="M16" t="s">
        <v>473</v>
      </c>
      <c r="N16" s="45" t="s">
        <v>232</v>
      </c>
      <c r="O16" t="e">
        <f ca="1">MATCH(30,O4:O11,1)</f>
        <v>#N/A</v>
      </c>
    </row>
    <row r="17" spans="1:14">
      <c r="A17" t="s">
        <v>474</v>
      </c>
      <c r="B17" s="45" t="s">
        <v>233</v>
      </c>
      <c r="C17" t="b">
        <f ca="1">OR(AND(ISNUMBER(SEARCH(B16,I2)),H2&gt;G2),(AND(ISNUMBER(SEARCH(B17,I2)),H2&lt;G2)))</f>
        <v>0</v>
      </c>
      <c r="D17" s="13" t="s">
        <v>853</v>
      </c>
      <c r="F17" t="str">
        <f ca="1">IF(ISNA(VLOOKUP(B17,J3:J9,1,FALSE)), "FALSE", "TRUE")</f>
        <v>FALSE</v>
      </c>
      <c r="G17" s="45"/>
      <c r="J17" s="47"/>
      <c r="K17" s="13" t="s">
        <v>824</v>
      </c>
      <c r="M17" t="s">
        <v>474</v>
      </c>
      <c r="N17" s="45" t="s">
        <v>233</v>
      </c>
    </row>
    <row r="18" spans="1:14">
      <c r="A18" t="s">
        <v>475</v>
      </c>
      <c r="B18" s="45" t="s">
        <v>234</v>
      </c>
      <c r="C18" t="b">
        <f ca="1">OR(AND(ISNUMBER(SEARCH(B17,I2)),H2&gt;G2),(AND(ISNUMBER(SEARCH(B18,I2)),H2&lt;G2)))</f>
        <v>0</v>
      </c>
      <c r="D18" s="13" t="s">
        <v>853</v>
      </c>
      <c r="F18" t="str">
        <f ca="1">IF(ISNA(VLOOKUP(B18,J3:J9,1,FALSE)), "FALSE", "TRUE")</f>
        <v>FALSE</v>
      </c>
      <c r="G18" s="45"/>
      <c r="K18" s="13" t="s">
        <v>824</v>
      </c>
      <c r="M18" t="s">
        <v>475</v>
      </c>
      <c r="N18" s="45" t="s">
        <v>234</v>
      </c>
    </row>
    <row r="19" spans="1:14">
      <c r="A19" t="s">
        <v>476</v>
      </c>
      <c r="B19" s="45" t="s">
        <v>235</v>
      </c>
      <c r="C19" t="b">
        <f ca="1">OR(AND(ISNUMBER(SEARCH(B18,I2)),H2&gt;G2),(AND(ISNUMBER(SEARCH(B19,I2)),H2&lt;G2)))</f>
        <v>0</v>
      </c>
      <c r="D19" s="13" t="s">
        <v>853</v>
      </c>
      <c r="F19" t="str">
        <f ca="1">IF(ISNA(VLOOKUP(B19,J3:J9,1,FALSE)), "FALSE", "TRUE")</f>
        <v>FALSE</v>
      </c>
      <c r="K19" s="13" t="s">
        <v>824</v>
      </c>
      <c r="M19" t="s">
        <v>476</v>
      </c>
      <c r="N19" s="45" t="s">
        <v>235</v>
      </c>
    </row>
    <row r="20" spans="1:14">
      <c r="A20" t="s">
        <v>477</v>
      </c>
      <c r="B20" s="45" t="s">
        <v>236</v>
      </c>
      <c r="C20" t="b">
        <f ca="1">OR(AND(ISNUMBER(SEARCH(B19,I2)),H2&gt;G2),(AND(ISNUMBER(SEARCH(B20,I2)),H2&lt;G2)))</f>
        <v>0</v>
      </c>
      <c r="D20" s="13" t="s">
        <v>853</v>
      </c>
      <c r="F20" t="str">
        <f ca="1">IF(ISNA(VLOOKUP(B20,J3:J9,1,FALSE)), "FALSE", "TRUE")</f>
        <v>FALSE</v>
      </c>
      <c r="K20" s="13" t="s">
        <v>824</v>
      </c>
      <c r="M20" t="s">
        <v>477</v>
      </c>
      <c r="N20" s="45" t="s">
        <v>236</v>
      </c>
    </row>
    <row r="21" spans="1:14">
      <c r="A21" t="s">
        <v>478</v>
      </c>
      <c r="B21" s="45" t="s">
        <v>237</v>
      </c>
      <c r="C21" t="b">
        <f ca="1">OR(AND(ISNUMBER(SEARCH(B20,I2)),H2&gt;G2),(AND(ISNUMBER(SEARCH(B21,I2)),H2&lt;G2)))</f>
        <v>0</v>
      </c>
      <c r="D21" s="13" t="s">
        <v>853</v>
      </c>
      <c r="F21" t="str">
        <f ca="1">IF(ISNA(VLOOKUP(B21,J3:J9,1,FALSE)), "FALSE", "TRUE")</f>
        <v>FALSE</v>
      </c>
      <c r="K21" s="13" t="s">
        <v>824</v>
      </c>
      <c r="M21" t="s">
        <v>478</v>
      </c>
      <c r="N21" s="45" t="s">
        <v>237</v>
      </c>
    </row>
    <row r="22" spans="1:14">
      <c r="A22" t="s">
        <v>479</v>
      </c>
      <c r="B22" s="45" t="s">
        <v>238</v>
      </c>
      <c r="C22" t="b">
        <f ca="1">OR(AND(ISNUMBER(SEARCH(B21,I2)),H2&gt;G2),(AND(ISNUMBER(SEARCH(B22,I2)),H2&lt;G2)))</f>
        <v>0</v>
      </c>
      <c r="D22" s="13" t="s">
        <v>854</v>
      </c>
      <c r="F22" t="str">
        <f ca="1">IF(ISNA(VLOOKUP(B22,J3:J9,1,FALSE)), "FALSE", "TRUE")</f>
        <v>FALSE</v>
      </c>
      <c r="I22" t="str">
        <f ca="1">VLOOKUP(TRUE,C:M,11,FALSE)</f>
        <v>ט"ז ניסן</v>
      </c>
      <c r="K22" s="13" t="s">
        <v>825</v>
      </c>
      <c r="M22" t="s">
        <v>479</v>
      </c>
      <c r="N22" s="45" t="s">
        <v>238</v>
      </c>
    </row>
    <row r="23" spans="1:14">
      <c r="A23" t="s">
        <v>480</v>
      </c>
      <c r="B23" s="45" t="s">
        <v>239</v>
      </c>
      <c r="C23" t="b">
        <f ca="1">OR(AND(ISNUMBER(SEARCH(B22,I2)),H2&gt;G2),(AND(ISNUMBER(SEARCH(B23,I2)),H2&lt;G2)))</f>
        <v>0</v>
      </c>
      <c r="D23" s="13" t="s">
        <v>854</v>
      </c>
      <c r="F23" t="str">
        <f ca="1">IF(ISNA(VLOOKUP(B23,J3:J9,1,FALSE)), "FALSE", "TRUE")</f>
        <v>FALSE</v>
      </c>
      <c r="K23" s="13" t="s">
        <v>826</v>
      </c>
      <c r="M23" t="s">
        <v>480</v>
      </c>
      <c r="N23" s="45" t="s">
        <v>239</v>
      </c>
    </row>
    <row r="24" spans="1:14">
      <c r="A24" t="s">
        <v>481</v>
      </c>
      <c r="B24" s="45" t="s">
        <v>240</v>
      </c>
      <c r="C24" t="b">
        <f ca="1">OR(AND(ISNUMBER(SEARCH(B23,I2)),H2&gt;G2),(AND(ISNUMBER(SEARCH(B24,I2)),H2&lt;G2)))</f>
        <v>0</v>
      </c>
      <c r="F24" t="str">
        <f ca="1">IF(ISNA(VLOOKUP(B24,J3:J9,1,FALSE)), "FALSE", "TRUE")</f>
        <v>FALSE</v>
      </c>
      <c r="M24" t="s">
        <v>481</v>
      </c>
      <c r="N24" s="45" t="s">
        <v>240</v>
      </c>
    </row>
    <row r="25" spans="1:14">
      <c r="A25" t="s">
        <v>482</v>
      </c>
      <c r="B25" s="45" t="s">
        <v>241</v>
      </c>
      <c r="C25" t="b">
        <f ca="1">OR(AND(ISNUMBER(SEARCH(B24,I2)),H2&gt;G2),(AND(ISNUMBER(SEARCH(B25,I2)),H2&lt;G2)))</f>
        <v>0</v>
      </c>
      <c r="F25" t="str">
        <f ca="1">IF(ISNA(VLOOKUP(B25,J3:J9,1,FALSE)), "FALSE", "TRUE")</f>
        <v>FALSE</v>
      </c>
      <c r="M25" t="s">
        <v>482</v>
      </c>
      <c r="N25" s="45" t="s">
        <v>241</v>
      </c>
    </row>
    <row r="26" spans="1:14">
      <c r="A26" t="s">
        <v>483</v>
      </c>
      <c r="B26" s="45" t="s">
        <v>242</v>
      </c>
      <c r="C26" t="b">
        <f ca="1">OR(AND(ISNUMBER(SEARCH(B25,I2)),H2&gt;G2),(AND(ISNUMBER(SEARCH(B26,I2)),H2&lt;G2)))</f>
        <v>0</v>
      </c>
      <c r="F26" t="str">
        <f ca="1">IF(ISNA(VLOOKUP(B26,J3:J9,1,FALSE)), "FALSE", "TRUE")</f>
        <v>FALSE</v>
      </c>
      <c r="M26" t="s">
        <v>483</v>
      </c>
      <c r="N26" s="45" t="s">
        <v>242</v>
      </c>
    </row>
    <row r="27" spans="1:14">
      <c r="A27" t="s">
        <v>484</v>
      </c>
      <c r="B27" s="45" t="s">
        <v>243</v>
      </c>
      <c r="C27" t="b">
        <f ca="1">OR(AND(ISNUMBER(SEARCH(B26,I2)),H2&gt;G2),(AND(ISNUMBER(SEARCH(B27,I2)),H2&lt;G2)))</f>
        <v>0</v>
      </c>
      <c r="F27" t="str">
        <f ca="1">IF(ISNA(VLOOKUP(B27,J3:J9,1,FALSE)), "FALSE", "TRUE")</f>
        <v>FALSE</v>
      </c>
      <c r="M27" t="s">
        <v>484</v>
      </c>
      <c r="N27" s="45" t="s">
        <v>243</v>
      </c>
    </row>
    <row r="28" spans="1:14">
      <c r="A28" t="s">
        <v>485</v>
      </c>
      <c r="B28" s="45" t="s">
        <v>244</v>
      </c>
      <c r="C28" t="b">
        <f ca="1">OR(AND(ISNUMBER(SEARCH(B27,I2)),H2&gt;G2),(AND(ISNUMBER(SEARCH(B28,I2)),H2&lt;G2)))</f>
        <v>0</v>
      </c>
      <c r="F28" t="str">
        <f ca="1">IF(ISNA(VLOOKUP(B28,J3:J9,1,FALSE)), "FALSE", "TRUE")</f>
        <v>FALSE</v>
      </c>
      <c r="M28" t="s">
        <v>485</v>
      </c>
      <c r="N28" s="45" t="s">
        <v>244</v>
      </c>
    </row>
    <row r="29" spans="1:14">
      <c r="A29" t="s">
        <v>486</v>
      </c>
      <c r="B29" s="45" t="s">
        <v>245</v>
      </c>
      <c r="C29" t="b">
        <f ca="1">OR(AND(ISNUMBER(SEARCH(B28,I2)),H2&gt;G2),(AND(ISNUMBER(SEARCH(B29,I2)),H2&lt;G2)))</f>
        <v>0</v>
      </c>
      <c r="F29" t="str">
        <f ca="1">IF(ISNA(VLOOKUP(B29,J3:J9,1,FALSE)), "FALSE", "TRUE")</f>
        <v>FALSE</v>
      </c>
      <c r="M29" t="s">
        <v>486</v>
      </c>
      <c r="N29" s="45" t="s">
        <v>245</v>
      </c>
    </row>
    <row r="30" spans="1:14">
      <c r="A30" t="s">
        <v>487</v>
      </c>
      <c r="B30" s="45" t="s">
        <v>246</v>
      </c>
      <c r="C30" t="b">
        <f ca="1">OR(AND(ISNUMBER(SEARCH(B29,I2)),H2&gt;G2),(AND(ISNUMBER(SEARCH(B30,I2)),H2&lt;G2)))</f>
        <v>0</v>
      </c>
      <c r="F30" t="str">
        <f ca="1">IF(ISNA(VLOOKUP(B30,J3:J9,1,FALSE)), "FALSE", "TRUE")</f>
        <v>FALSE</v>
      </c>
      <c r="M30" t="s">
        <v>487</v>
      </c>
      <c r="N30" s="45" t="s">
        <v>246</v>
      </c>
    </row>
    <row r="31" spans="1:14">
      <c r="A31" t="s">
        <v>488</v>
      </c>
      <c r="B31" s="45" t="s">
        <v>247</v>
      </c>
      <c r="C31" t="b">
        <f ca="1">OR(AND(ISNUMBER(SEARCH(B30,I2)),H2&gt;G2),(AND(ISNUMBER(SEARCH(B31,I2)),H2&lt;G2)))</f>
        <v>0</v>
      </c>
      <c r="F31" t="str">
        <f ca="1">IF(ISNA(VLOOKUP(B31,J3:J9,1,FALSE)), "FALSE", "TRUE")</f>
        <v>FALSE</v>
      </c>
      <c r="M31" t="s">
        <v>488</v>
      </c>
      <c r="N31" s="45" t="s">
        <v>247</v>
      </c>
    </row>
    <row r="32" spans="1:14">
      <c r="A32" t="s">
        <v>459</v>
      </c>
      <c r="B32" s="13" t="s">
        <v>99</v>
      </c>
      <c r="C32" t="b">
        <f ca="1">OR(AND(ISNUMBER(SEARCH(B31,I2)),H2&gt;G2),(AND(ISNUMBER(SEARCH(B32,I2)),H2&lt;G2)))</f>
        <v>0</v>
      </c>
      <c r="F32" t="str">
        <f ca="1">IF(ISNA(VLOOKUP(B32,J3:J9,1,FALSE)), "FALSE", "TRUE")</f>
        <v>FALSE</v>
      </c>
      <c r="M32" t="s">
        <v>459</v>
      </c>
      <c r="N32" s="13" t="s">
        <v>99</v>
      </c>
    </row>
    <row r="33" spans="1:14">
      <c r="A33" t="s">
        <v>489</v>
      </c>
      <c r="B33" s="13" t="s">
        <v>100</v>
      </c>
      <c r="C33" t="b">
        <f ca="1">OR(AND(ISNUMBER(SEARCH(B32,I2)),H2&gt;G2),(AND(ISNUMBER(SEARCH(B33,I2)),H2&lt;G2)))</f>
        <v>0</v>
      </c>
      <c r="F33" t="str">
        <f ca="1">IF(ISNA(VLOOKUP(B33,J3:J9,1,FALSE)), "FALSE", "TRUE")</f>
        <v>FALSE</v>
      </c>
      <c r="M33" t="s">
        <v>489</v>
      </c>
      <c r="N33" s="13" t="s">
        <v>100</v>
      </c>
    </row>
    <row r="34" spans="1:14">
      <c r="A34" t="s">
        <v>490</v>
      </c>
      <c r="B34" s="13" t="s">
        <v>101</v>
      </c>
      <c r="C34" t="b">
        <f ca="1">OR(AND(ISNUMBER(SEARCH(B33,I2)),H2&gt;G2),(AND(ISNUMBER(SEARCH(B34,I2)),H2&lt;G2)))</f>
        <v>0</v>
      </c>
      <c r="F34" t="str">
        <f ca="1">IF(ISNA(VLOOKUP(B34,J3:J9,1,FALSE)), "FALSE", "TRUE")</f>
        <v>FALSE</v>
      </c>
      <c r="M34" t="s">
        <v>490</v>
      </c>
      <c r="N34" s="13" t="s">
        <v>101</v>
      </c>
    </row>
    <row r="35" spans="1:14">
      <c r="A35" t="s">
        <v>491</v>
      </c>
      <c r="B35" s="13" t="s">
        <v>102</v>
      </c>
      <c r="C35" t="b">
        <f ca="1">OR(AND(ISNUMBER(SEARCH(B34,I2)),H2&gt;G2),(AND(ISNUMBER(SEARCH(B35,I2)),H2&lt;G2)))</f>
        <v>0</v>
      </c>
      <c r="F35" t="str">
        <f ca="1">IF(ISNA(VLOOKUP(B35,J3:J9,1,FALSE)), "FALSE", "TRUE")</f>
        <v>FALSE</v>
      </c>
      <c r="M35" t="s">
        <v>491</v>
      </c>
      <c r="N35" s="13" t="s">
        <v>102</v>
      </c>
    </row>
    <row r="36" spans="1:14">
      <c r="A36" t="s">
        <v>492</v>
      </c>
      <c r="B36" s="13" t="s">
        <v>103</v>
      </c>
      <c r="C36" t="b">
        <f ca="1">OR(AND(ISNUMBER(SEARCH(B35,I2)),H2&gt;G2),(AND(ISNUMBER(SEARCH(B36,I2)),H2&lt;G2)))</f>
        <v>0</v>
      </c>
      <c r="F36" t="str">
        <f ca="1">IF(ISNA(VLOOKUP(B36,J3:J9,1,FALSE)), "FALSE", "TRUE")</f>
        <v>FALSE</v>
      </c>
      <c r="M36" t="s">
        <v>492</v>
      </c>
      <c r="N36" s="13" t="s">
        <v>103</v>
      </c>
    </row>
    <row r="37" spans="1:14">
      <c r="A37" t="s">
        <v>493</v>
      </c>
      <c r="B37" s="13" t="s">
        <v>104</v>
      </c>
      <c r="C37" t="b">
        <f ca="1">OR(AND(ISNUMBER(SEARCH(B36,I2)),H2&gt;G2),(AND(ISNUMBER(SEARCH(B37,I2)),H2&lt;G2)))</f>
        <v>0</v>
      </c>
      <c r="F37" t="str">
        <f ca="1">IF(ISNA(VLOOKUP(B37,J3:J9,1,FALSE)), "FALSE", "TRUE")</f>
        <v>FALSE</v>
      </c>
      <c r="M37" t="s">
        <v>493</v>
      </c>
      <c r="N37" s="13" t="s">
        <v>104</v>
      </c>
    </row>
    <row r="38" spans="1:14">
      <c r="A38" t="s">
        <v>494</v>
      </c>
      <c r="B38" s="13" t="s">
        <v>105</v>
      </c>
      <c r="C38" t="b">
        <f ca="1">OR(AND(ISNUMBER(SEARCH(B37,I2)),H2&gt;G2),(AND(ISNUMBER(SEARCH(B38,I2)),H2&lt;G2)))</f>
        <v>0</v>
      </c>
      <c r="F38" t="str">
        <f ca="1">IF(ISNA(VLOOKUP(B38,J3:J9,1,FALSE)), "FALSE", "TRUE")</f>
        <v>FALSE</v>
      </c>
      <c r="M38" t="s">
        <v>494</v>
      </c>
      <c r="N38" s="13" t="s">
        <v>105</v>
      </c>
    </row>
    <row r="39" spans="1:14">
      <c r="A39" t="s">
        <v>495</v>
      </c>
      <c r="B39" s="13" t="s">
        <v>106</v>
      </c>
      <c r="C39" t="b">
        <f ca="1">OR(AND(ISNUMBER(SEARCH(B38,I2)),H2&gt;G2),(AND(ISNUMBER(SEARCH(B39,I2)),H2&lt;G2)))</f>
        <v>0</v>
      </c>
      <c r="F39" t="str">
        <f ca="1">IF(ISNA(VLOOKUP(B39,J3:J9,1,FALSE)), "FALSE", "TRUE")</f>
        <v>FALSE</v>
      </c>
      <c r="M39" t="s">
        <v>495</v>
      </c>
      <c r="N39" s="13" t="s">
        <v>106</v>
      </c>
    </row>
    <row r="40" spans="1:14">
      <c r="A40" t="s">
        <v>496</v>
      </c>
      <c r="B40" s="13" t="s">
        <v>107</v>
      </c>
      <c r="C40" t="b">
        <f ca="1">OR(AND(ISNUMBER(SEARCH(B39,I2)),H2&gt;G2),(AND(ISNUMBER(SEARCH(B40,I2)),H2&lt;G2)))</f>
        <v>0</v>
      </c>
      <c r="F40" t="str">
        <f ca="1">IF(ISNA(VLOOKUP(B40,J3:J9,1,FALSE)), "FALSE", "TRUE")</f>
        <v>FALSE</v>
      </c>
      <c r="M40" t="s">
        <v>496</v>
      </c>
      <c r="N40" s="13" t="s">
        <v>107</v>
      </c>
    </row>
    <row r="41" spans="1:14">
      <c r="A41" t="s">
        <v>497</v>
      </c>
      <c r="B41" s="13" t="s">
        <v>108</v>
      </c>
      <c r="C41" t="b">
        <f ca="1">OR(AND(ISNUMBER(SEARCH(B40,I2)),H2&gt;G2),(AND(ISNUMBER(SEARCH(B41,I2)),H2&lt;G2)))</f>
        <v>0</v>
      </c>
      <c r="F41" t="str">
        <f ca="1">IF(ISNA(VLOOKUP(B41,J3:J9,1,FALSE)), "FALSE", "TRUE")</f>
        <v>FALSE</v>
      </c>
      <c r="M41" t="s">
        <v>497</v>
      </c>
      <c r="N41" s="13" t="s">
        <v>108</v>
      </c>
    </row>
    <row r="42" spans="1:14">
      <c r="A42" t="s">
        <v>498</v>
      </c>
      <c r="B42" s="13" t="s">
        <v>109</v>
      </c>
      <c r="C42" t="b">
        <f ca="1">OR(AND(ISNUMBER(SEARCH(B41,I2)),H2&gt;G2),(AND(ISNUMBER(SEARCH(B42,I2)),H2&lt;G2)))</f>
        <v>0</v>
      </c>
      <c r="F42" t="str">
        <f ca="1">IF(ISNA(VLOOKUP(B42,J3:J9,1,FALSE)), "FALSE", "TRUE")</f>
        <v>FALSE</v>
      </c>
      <c r="M42" t="s">
        <v>498</v>
      </c>
      <c r="N42" s="13" t="s">
        <v>109</v>
      </c>
    </row>
    <row r="43" spans="1:14">
      <c r="A43" t="s">
        <v>499</v>
      </c>
      <c r="B43" s="13" t="s">
        <v>110</v>
      </c>
      <c r="C43" t="b">
        <f ca="1">OR(AND(ISNUMBER(SEARCH(B42,I2)),H2&gt;G2),(AND(ISNUMBER(SEARCH(B43,I2)),H2&lt;G2)))</f>
        <v>0</v>
      </c>
      <c r="F43" t="str">
        <f ca="1">IF(ISNA(VLOOKUP(B43,J3:J9,1,FALSE)), "FALSE", "TRUE")</f>
        <v>FALSE</v>
      </c>
      <c r="M43" t="s">
        <v>499</v>
      </c>
      <c r="N43" s="13" t="s">
        <v>110</v>
      </c>
    </row>
    <row r="44" spans="1:14">
      <c r="A44" t="s">
        <v>500</v>
      </c>
      <c r="B44" s="13" t="s">
        <v>111</v>
      </c>
      <c r="C44" t="b">
        <f ca="1">OR(AND(ISNUMBER(SEARCH(B43,I2)),H2&gt;G2),(AND(ISNUMBER(SEARCH(B44,I2)),H2&lt;G2)))</f>
        <v>0</v>
      </c>
      <c r="F44" t="str">
        <f ca="1">IF(ISNA(VLOOKUP(B44,J3:J9,1,FALSE)), "FALSE", "TRUE")</f>
        <v>FALSE</v>
      </c>
      <c r="M44" t="s">
        <v>500</v>
      </c>
      <c r="N44" s="13" t="s">
        <v>111</v>
      </c>
    </row>
    <row r="45" spans="1:14">
      <c r="A45" t="s">
        <v>501</v>
      </c>
      <c r="B45" s="13" t="s">
        <v>112</v>
      </c>
      <c r="C45" t="b">
        <f ca="1">OR(AND(ISNUMBER(SEARCH(B44,I2)),H2&gt;G2),(AND(ISNUMBER(SEARCH(B45,I2)),H2&lt;G2)))</f>
        <v>0</v>
      </c>
      <c r="F45" t="str">
        <f ca="1">IF(ISNA(VLOOKUP(B45,J3:J9,1,FALSE)), "FALSE", "TRUE")</f>
        <v>FALSE</v>
      </c>
      <c r="M45" t="s">
        <v>501</v>
      </c>
      <c r="N45" s="13" t="s">
        <v>112</v>
      </c>
    </row>
    <row r="46" spans="1:14">
      <c r="A46" t="s">
        <v>502</v>
      </c>
      <c r="B46" s="13" t="s">
        <v>113</v>
      </c>
      <c r="C46" t="b">
        <f ca="1">OR(AND(ISNUMBER(SEARCH(B45,I2)),H2&gt;G2),(AND(ISNUMBER(SEARCH(B46,I2)),H2&lt;G2)))</f>
        <v>0</v>
      </c>
      <c r="F46" t="str">
        <f ca="1">IF(ISNA(VLOOKUP(B46,J3:J9,1,FALSE)), "FALSE", "TRUE")</f>
        <v>FALSE</v>
      </c>
      <c r="M46" t="s">
        <v>502</v>
      </c>
      <c r="N46" s="13" t="s">
        <v>113</v>
      </c>
    </row>
    <row r="47" spans="1:14">
      <c r="A47" t="s">
        <v>503</v>
      </c>
      <c r="B47" s="13" t="s">
        <v>114</v>
      </c>
      <c r="C47" t="b">
        <f ca="1">OR(AND(ISNUMBER(SEARCH(B46,I2)),H2&gt;G2),(AND(ISNUMBER(SEARCH(B47,I2)),H2&lt;G2)))</f>
        <v>0</v>
      </c>
      <c r="F47" t="str">
        <f ca="1">IF(ISNA(VLOOKUP(B47,J3:J9,1,FALSE)), "FALSE", "TRUE")</f>
        <v>FALSE</v>
      </c>
      <c r="M47" t="s">
        <v>503</v>
      </c>
      <c r="N47" s="13" t="s">
        <v>114</v>
      </c>
    </row>
    <row r="48" spans="1:14">
      <c r="A48" t="s">
        <v>504</v>
      </c>
      <c r="B48" s="13" t="s">
        <v>115</v>
      </c>
      <c r="C48" t="b">
        <f ca="1">OR(AND(ISNUMBER(SEARCH(B47,I2)),H2&gt;G2),(AND(ISNUMBER(SEARCH(B48,I2)),H2&lt;G2)))</f>
        <v>0</v>
      </c>
      <c r="F48" t="str">
        <f ca="1">IF(ISNA(VLOOKUP(B48,J3:J9,1,FALSE)), "FALSE", "TRUE")</f>
        <v>FALSE</v>
      </c>
      <c r="M48" t="s">
        <v>504</v>
      </c>
      <c r="N48" s="13" t="s">
        <v>115</v>
      </c>
    </row>
    <row r="49" spans="1:14">
      <c r="A49" t="s">
        <v>505</v>
      </c>
      <c r="B49" s="13" t="s">
        <v>116</v>
      </c>
      <c r="C49" t="b">
        <f ca="1">OR(AND(ISNUMBER(SEARCH(B48,I2)),H2&gt;G2),(AND(ISNUMBER(SEARCH(B49,I2)),H2&lt;G2)))</f>
        <v>0</v>
      </c>
      <c r="F49" t="str">
        <f ca="1">IF(ISNA(VLOOKUP(B49,J3:J9,1,FALSE)), "FALSE", "TRUE")</f>
        <v>FALSE</v>
      </c>
      <c r="M49" t="s">
        <v>505</v>
      </c>
      <c r="N49" s="13" t="s">
        <v>116</v>
      </c>
    </row>
    <row r="50" spans="1:14">
      <c r="A50" t="s">
        <v>506</v>
      </c>
      <c r="B50" s="13" t="s">
        <v>117</v>
      </c>
      <c r="C50" t="b">
        <f ca="1">OR(AND(ISNUMBER(SEARCH(B49,I2)),H2&gt;G2),(AND(ISNUMBER(SEARCH(B50,I2)),H2&lt;G2)))</f>
        <v>0</v>
      </c>
      <c r="F50" t="str">
        <f ca="1">IF(ISNA(VLOOKUP(B50,J3:J9,1,FALSE)), "FALSE", "TRUE")</f>
        <v>FALSE</v>
      </c>
      <c r="M50" t="s">
        <v>506</v>
      </c>
      <c r="N50" s="13" t="s">
        <v>117</v>
      </c>
    </row>
    <row r="51" spans="1:14">
      <c r="A51" t="s">
        <v>507</v>
      </c>
      <c r="B51" s="13" t="s">
        <v>118</v>
      </c>
      <c r="C51" t="b">
        <f ca="1">OR(AND(ISNUMBER(SEARCH(B50,I2)),H2&gt;G2),(AND(ISNUMBER(SEARCH(B51,I2)),H2&lt;G2)))</f>
        <v>0</v>
      </c>
      <c r="F51" t="str">
        <f ca="1">IF(ISNA(VLOOKUP(B51,J3:J9,1,FALSE)), "FALSE", "TRUE")</f>
        <v>FALSE</v>
      </c>
      <c r="M51" t="s">
        <v>507</v>
      </c>
      <c r="N51" s="13" t="s">
        <v>118</v>
      </c>
    </row>
    <row r="52" spans="1:14">
      <c r="A52" t="s">
        <v>508</v>
      </c>
      <c r="B52" s="13" t="s">
        <v>98</v>
      </c>
      <c r="C52" t="b">
        <f ca="1">OR(AND(ISNUMBER(SEARCH(B51,I2)),H2&gt;G2),(AND(ISNUMBER(SEARCH(B52,I2)),H2&lt;G2)))</f>
        <v>0</v>
      </c>
      <c r="F52" t="str">
        <f ca="1">IF(ISNA(VLOOKUP(B52,J3:J9,1,FALSE)), "FALSE", "TRUE")</f>
        <v>FALSE</v>
      </c>
      <c r="M52" t="s">
        <v>508</v>
      </c>
      <c r="N52" s="13" t="s">
        <v>98</v>
      </c>
    </row>
    <row r="53" spans="1:14">
      <c r="A53" t="s">
        <v>509</v>
      </c>
      <c r="B53" s="13" t="s">
        <v>119</v>
      </c>
      <c r="C53" t="b">
        <f ca="1">OR(AND(ISNUMBER(SEARCH(B52,I2)),H2&gt;G2),(AND(ISNUMBER(SEARCH(B53,I2)),H2&lt;G2)))</f>
        <v>0</v>
      </c>
      <c r="F53" t="str">
        <f ca="1">IF(ISNA(VLOOKUP(B53,J3:J9,1,FALSE)), "FALSE", "TRUE")</f>
        <v>FALSE</v>
      </c>
      <c r="M53" t="s">
        <v>509</v>
      </c>
      <c r="N53" s="13" t="s">
        <v>119</v>
      </c>
    </row>
    <row r="54" spans="1:14">
      <c r="A54" t="s">
        <v>510</v>
      </c>
      <c r="B54" s="13" t="s">
        <v>120</v>
      </c>
      <c r="C54" t="b">
        <f ca="1">OR(AND(ISNUMBER(SEARCH(B53,I2)),H2&gt;G2),(AND(ISNUMBER(SEARCH(B54,I2)),H2&lt;G2)))</f>
        <v>0</v>
      </c>
      <c r="F54" t="str">
        <f ca="1">IF(ISNA(VLOOKUP(B54,J3:J9,1,FALSE)), "FALSE", "TRUE")</f>
        <v>FALSE</v>
      </c>
      <c r="M54" t="s">
        <v>510</v>
      </c>
      <c r="N54" s="13" t="s">
        <v>120</v>
      </c>
    </row>
    <row r="55" spans="1:14">
      <c r="A55" t="s">
        <v>511</v>
      </c>
      <c r="B55" s="13" t="s">
        <v>121</v>
      </c>
      <c r="C55" t="b">
        <f ca="1">OR(AND(ISNUMBER(SEARCH(B54,I2)),H2&gt;G2),(AND(ISNUMBER(SEARCH(B55,I2)),H2&lt;G2)))</f>
        <v>0</v>
      </c>
      <c r="F55" t="str">
        <f ca="1">IF(ISNA(VLOOKUP(B55,J3:J9,1,FALSE)), "FALSE", "TRUE")</f>
        <v>FALSE</v>
      </c>
      <c r="M55" t="s">
        <v>511</v>
      </c>
      <c r="N55" s="13" t="s">
        <v>121</v>
      </c>
    </row>
    <row r="56" spans="1:14">
      <c r="A56" t="s">
        <v>512</v>
      </c>
      <c r="B56" s="13" t="s">
        <v>122</v>
      </c>
      <c r="C56" t="b">
        <f ca="1">OR(AND(ISNUMBER(SEARCH(B55,I2)),H2&gt;G2),(AND(ISNUMBER(SEARCH(B56,I2)),H2&lt;G2)))</f>
        <v>0</v>
      </c>
      <c r="F56" t="str">
        <f ca="1">IF(ISNA(VLOOKUP(B56,J3:J9,1,FALSE)), "FALSE", "TRUE")</f>
        <v>FALSE</v>
      </c>
      <c r="M56" t="s">
        <v>512</v>
      </c>
      <c r="N56" s="13" t="s">
        <v>122</v>
      </c>
    </row>
    <row r="57" spans="1:14">
      <c r="A57" t="s">
        <v>513</v>
      </c>
      <c r="B57" s="13" t="s">
        <v>123</v>
      </c>
      <c r="C57" t="b">
        <f ca="1">OR(AND(ISNUMBER(SEARCH(B56,I2)),H2&gt;G2),(AND(ISNUMBER(SEARCH(B57,I2)),H2&lt;G2)))</f>
        <v>0</v>
      </c>
      <c r="F57" t="str">
        <f ca="1">IF(ISNA(VLOOKUP(B57,J3:J9,1,FALSE)), "FALSE", "TRUE")</f>
        <v>FALSE</v>
      </c>
      <c r="M57" t="s">
        <v>513</v>
      </c>
      <c r="N57" s="13" t="s">
        <v>123</v>
      </c>
    </row>
    <row r="58" spans="1:14">
      <c r="A58" t="s">
        <v>514</v>
      </c>
      <c r="B58" s="13" t="s">
        <v>124</v>
      </c>
      <c r="C58" t="b">
        <f ca="1">OR(AND(ISNUMBER(SEARCH(B57,I2)),H2&gt;G2),(AND(ISNUMBER(SEARCH(B58,I2)),H2&lt;G2)))</f>
        <v>0</v>
      </c>
      <c r="F58" t="str">
        <f ca="1">IF(ISNA(VLOOKUP(B58,J3:J9,1,FALSE)), "FALSE", "TRUE")</f>
        <v>FALSE</v>
      </c>
      <c r="M58" t="s">
        <v>514</v>
      </c>
      <c r="N58" s="13" t="s">
        <v>124</v>
      </c>
    </row>
    <row r="59" spans="1:14">
      <c r="A59" t="s">
        <v>515</v>
      </c>
      <c r="B59" s="13" t="s">
        <v>125</v>
      </c>
      <c r="C59" t="b">
        <f ca="1">OR(AND(ISNUMBER(SEARCH(B58,I2)),H2&gt;G2),(AND(ISNUMBER(SEARCH(B59,I2)),H2&lt;G2)))</f>
        <v>0</v>
      </c>
      <c r="F59" t="str">
        <f ca="1">IF(ISNA(VLOOKUP(B59,J3:J9,1,FALSE)), "FALSE", "TRUE")</f>
        <v>FALSE</v>
      </c>
      <c r="M59" t="s">
        <v>515</v>
      </c>
      <c r="N59" s="13" t="s">
        <v>125</v>
      </c>
    </row>
    <row r="60" spans="1:14">
      <c r="A60" t="s">
        <v>516</v>
      </c>
      <c r="B60" s="13" t="s">
        <v>126</v>
      </c>
      <c r="C60" t="b">
        <f ca="1">OR(AND(ISNUMBER(SEARCH(B59,I2)),H2&gt;G2),(AND(ISNUMBER(SEARCH(B60,I2)),H2&lt;G2)))</f>
        <v>0</v>
      </c>
      <c r="F60" t="str">
        <f ca="1">IF(ISNA(VLOOKUP(B60,J3:J9,1,FALSE)), "FALSE", "TRUE")</f>
        <v>FALSE</v>
      </c>
      <c r="M60" t="s">
        <v>516</v>
      </c>
      <c r="N60" s="13" t="s">
        <v>126</v>
      </c>
    </row>
    <row r="61" spans="1:14">
      <c r="A61" t="s">
        <v>517</v>
      </c>
      <c r="B61" s="13" t="s">
        <v>127</v>
      </c>
      <c r="C61" t="b">
        <f ca="1">OR(AND(ISNUMBER(SEARCH(B60,I2)),H2&gt;G2),(AND(ISNUMBER(SEARCH(B61,I2)),H2&lt;G2)))</f>
        <v>0</v>
      </c>
      <c r="F61" t="str">
        <f ca="1">IF(ISNA(VLOOKUP(B61,J3:J9,1,FALSE)), "FALSE", "TRUE")</f>
        <v>FALSE</v>
      </c>
      <c r="M61" t="s">
        <v>517</v>
      </c>
      <c r="N61" s="13" t="s">
        <v>127</v>
      </c>
    </row>
    <row r="62" spans="1:14">
      <c r="A62" t="s">
        <v>518</v>
      </c>
      <c r="B62" s="13" t="s">
        <v>128</v>
      </c>
      <c r="C62" t="b">
        <f ca="1">OR(AND(ISNUMBER(SEARCH(B61,I2)),H2&gt;G2),(AND(ISNUMBER(SEARCH(B62,I2)),H2&lt;G2)))</f>
        <v>0</v>
      </c>
      <c r="F62" t="str">
        <f ca="1">IF(ISNA(VLOOKUP(B62,J3:J9,1,FALSE)), "FALSE", "TRUE")</f>
        <v>FALSE</v>
      </c>
      <c r="M62" t="s">
        <v>518</v>
      </c>
      <c r="N62" s="13" t="s">
        <v>128</v>
      </c>
    </row>
    <row r="63" spans="1:14">
      <c r="A63" t="s">
        <v>519</v>
      </c>
      <c r="B63" s="13" t="s">
        <v>129</v>
      </c>
      <c r="C63" t="b">
        <f ca="1">OR(AND(ISNUMBER(SEARCH(B62,I2)),H2&gt;G2),(AND(ISNUMBER(SEARCH(B63,I2)),H2&lt;G2)))</f>
        <v>0</v>
      </c>
      <c r="F63" t="str">
        <f ca="1">IF(ISNA(VLOOKUP(B63,J3:J9,1,FALSE)), "FALSE", "TRUE")</f>
        <v>FALSE</v>
      </c>
      <c r="M63" t="s">
        <v>519</v>
      </c>
      <c r="N63" s="13" t="s">
        <v>129</v>
      </c>
    </row>
    <row r="64" spans="1:14">
      <c r="A64" t="s">
        <v>520</v>
      </c>
      <c r="B64" s="13" t="s">
        <v>130</v>
      </c>
      <c r="C64" t="b">
        <f ca="1">OR(AND(ISNUMBER(SEARCH(B63,I2)),H2&gt;G2),(AND(ISNUMBER(SEARCH(B64,I2)),H2&lt;G2)))</f>
        <v>0</v>
      </c>
      <c r="F64" t="str">
        <f ca="1">IF(ISNA(VLOOKUP(B64,J3:J9,1,FALSE)), "FALSE", "TRUE")</f>
        <v>FALSE</v>
      </c>
      <c r="M64" t="s">
        <v>520</v>
      </c>
      <c r="N64" s="13" t="s">
        <v>130</v>
      </c>
    </row>
    <row r="65" spans="1:14">
      <c r="A65" t="s">
        <v>521</v>
      </c>
      <c r="B65" s="13" t="s">
        <v>131</v>
      </c>
      <c r="C65" t="b">
        <f ca="1">OR(AND(ISNUMBER(SEARCH(B64,I2)),H2&gt;G2),(AND(ISNUMBER(SEARCH(B65,I2)),H2&lt;G2)))</f>
        <v>0</v>
      </c>
      <c r="F65" t="str">
        <f ca="1">IF(ISNA(VLOOKUP(B65,J3:J9,1,FALSE)), "FALSE", "TRUE")</f>
        <v>FALSE</v>
      </c>
      <c r="M65" t="s">
        <v>521</v>
      </c>
      <c r="N65" s="13" t="s">
        <v>131</v>
      </c>
    </row>
    <row r="66" spans="1:14">
      <c r="A66" t="s">
        <v>522</v>
      </c>
      <c r="B66" s="13" t="s">
        <v>132</v>
      </c>
      <c r="C66" t="b">
        <f ca="1">OR(AND(ISNUMBER(SEARCH(B65,I2)),H2&gt;G2),(AND(ISNUMBER(SEARCH(B66,I2)),H2&lt;G2)))</f>
        <v>0</v>
      </c>
      <c r="F66" t="str">
        <f ca="1">IF(ISNA(VLOOKUP(B66,J3:J9,1,FALSE)), "FALSE", "TRUE")</f>
        <v>FALSE</v>
      </c>
      <c r="M66" t="s">
        <v>522</v>
      </c>
      <c r="N66" s="13" t="s">
        <v>132</v>
      </c>
    </row>
    <row r="67" spans="1:14">
      <c r="A67" t="s">
        <v>523</v>
      </c>
      <c r="B67" s="13" t="s">
        <v>133</v>
      </c>
      <c r="C67" t="b">
        <f ca="1">OR(AND(ISNUMBER(SEARCH(B66,I2)),H2&gt;G2),(AND(ISNUMBER(SEARCH(B67,I2)),H2&lt;G2)))</f>
        <v>0</v>
      </c>
      <c r="F67" t="str">
        <f ca="1">IF(ISNA(VLOOKUP(B67,J3:J9,1,FALSE)), "FALSE", "TRUE")</f>
        <v>FALSE</v>
      </c>
      <c r="M67" t="s">
        <v>523</v>
      </c>
      <c r="N67" s="13" t="s">
        <v>133</v>
      </c>
    </row>
    <row r="68" spans="1:14">
      <c r="A68" t="s">
        <v>524</v>
      </c>
      <c r="B68" s="13" t="s">
        <v>134</v>
      </c>
      <c r="C68" t="b">
        <f ca="1">OR(AND(ISNUMBER(SEARCH(B67,I2)),H2&gt;G2),(AND(ISNUMBER(SEARCH(B68,I2)),H2&lt;G2)))</f>
        <v>0</v>
      </c>
      <c r="F68" t="str">
        <f ca="1">IF(ISNA(VLOOKUP(B68,J3:J9,1,FALSE)), "FALSE", "TRUE")</f>
        <v>FALSE</v>
      </c>
      <c r="M68" t="s">
        <v>524</v>
      </c>
      <c r="N68" s="13" t="s">
        <v>134</v>
      </c>
    </row>
    <row r="69" spans="1:14">
      <c r="A69" t="s">
        <v>525</v>
      </c>
      <c r="B69" s="13" t="s">
        <v>135</v>
      </c>
      <c r="C69" t="b">
        <f ca="1">OR(AND(ISNUMBER(SEARCH(B68,I2)),H2&gt;G2),(AND(ISNUMBER(SEARCH(B69,I2)),H2&lt;G2)))</f>
        <v>0</v>
      </c>
      <c r="F69" t="str">
        <f ca="1">IF(ISNA(VLOOKUP(B69,J3:J9,1,FALSE)), "FALSE", "TRUE")</f>
        <v>FALSE</v>
      </c>
      <c r="M69" t="s">
        <v>525</v>
      </c>
      <c r="N69" s="13" t="s">
        <v>135</v>
      </c>
    </row>
    <row r="70" spans="1:14">
      <c r="A70" t="s">
        <v>526</v>
      </c>
      <c r="B70" s="13" t="s">
        <v>136</v>
      </c>
      <c r="C70" t="b">
        <f ca="1">OR(AND(ISNUMBER(SEARCH(B69,I2)),H2&gt;G2),(AND(ISNUMBER(SEARCH(B70,I2)),H2&lt;G2)))</f>
        <v>0</v>
      </c>
      <c r="F70" t="str">
        <f ca="1">IF(ISNA(VLOOKUP(B70,J3:J9,1,FALSE)), "FALSE", "TRUE")</f>
        <v>FALSE</v>
      </c>
      <c r="M70" t="s">
        <v>526</v>
      </c>
      <c r="N70" s="13" t="s">
        <v>136</v>
      </c>
    </row>
    <row r="71" spans="1:14">
      <c r="A71" t="s">
        <v>527</v>
      </c>
      <c r="B71" s="13" t="s">
        <v>137</v>
      </c>
      <c r="C71" t="b">
        <f ca="1">OR(AND(ISNUMBER(SEARCH(B70,I2)),H2&gt;G2),(AND(ISNUMBER(SEARCH(B71,I2)),H2&lt;G2)))</f>
        <v>0</v>
      </c>
      <c r="F71" t="str">
        <f ca="1">IF(ISNA(VLOOKUP(B71,J3:J9,1,FALSE)), "FALSE", "TRUE")</f>
        <v>FALSE</v>
      </c>
      <c r="M71" t="s">
        <v>527</v>
      </c>
      <c r="N71" s="13" t="s">
        <v>137</v>
      </c>
    </row>
    <row r="72" spans="1:14">
      <c r="A72" t="s">
        <v>528</v>
      </c>
      <c r="B72" s="13" t="s">
        <v>138</v>
      </c>
      <c r="C72" t="b">
        <f ca="1">OR(AND(ISNUMBER(SEARCH(B71,I2)),H2&gt;G2),(AND(ISNUMBER(SEARCH(B72,I2)),H2&lt;G2)))</f>
        <v>0</v>
      </c>
      <c r="F72" t="str">
        <f ca="1">IF(ISNA(VLOOKUP(B72,J3:J9,1,FALSE)), "FALSE", "TRUE")</f>
        <v>FALSE</v>
      </c>
      <c r="M72" t="s">
        <v>528</v>
      </c>
      <c r="N72" s="13" t="s">
        <v>138</v>
      </c>
    </row>
    <row r="73" spans="1:14">
      <c r="A73" t="s">
        <v>529</v>
      </c>
      <c r="B73" s="13" t="s">
        <v>139</v>
      </c>
      <c r="C73" t="b">
        <f ca="1">OR(AND(ISNUMBER(SEARCH(B72,I2)),H2&gt;G2),(AND(ISNUMBER(SEARCH(B73,I2)),H2&lt;G2)))</f>
        <v>0</v>
      </c>
      <c r="F73" t="str">
        <f ca="1">IF(ISNA(VLOOKUP(B73,J3:J9,1,FALSE)), "FALSE", "TRUE")</f>
        <v>FALSE</v>
      </c>
      <c r="M73" t="s">
        <v>529</v>
      </c>
      <c r="N73" s="13" t="s">
        <v>139</v>
      </c>
    </row>
    <row r="74" spans="1:14">
      <c r="A74" t="s">
        <v>530</v>
      </c>
      <c r="B74" s="13" t="s">
        <v>140</v>
      </c>
      <c r="C74" t="b">
        <f ca="1">OR(AND(ISNUMBER(SEARCH(B73,I2)),H2&gt;G2),(AND(ISNUMBER(SEARCH(B74,I2)),H2&lt;G2)))</f>
        <v>0</v>
      </c>
      <c r="F74" t="str">
        <f ca="1">IF(ISNA(VLOOKUP(B74,J3:J9,1,FALSE)), "FALSE", "TRUE")</f>
        <v>FALSE</v>
      </c>
      <c r="M74" t="s">
        <v>530</v>
      </c>
      <c r="N74" s="13" t="s">
        <v>140</v>
      </c>
    </row>
    <row r="75" spans="1:14">
      <c r="A75" t="s">
        <v>531</v>
      </c>
      <c r="B75" s="13" t="s">
        <v>141</v>
      </c>
      <c r="C75" t="b">
        <f ca="1">OR(AND(ISNUMBER(SEARCH(B74,I2)),H2&gt;G2),(AND(ISNUMBER(SEARCH(B75,I2)),H2&lt;G2)))</f>
        <v>0</v>
      </c>
      <c r="F75" t="str">
        <f ca="1">IF(ISNA(VLOOKUP(B75,J3:J9,1,FALSE)), "FALSE", "TRUE")</f>
        <v>FALSE</v>
      </c>
      <c r="M75" t="s">
        <v>531</v>
      </c>
      <c r="N75" s="13" t="s">
        <v>141</v>
      </c>
    </row>
    <row r="76" spans="1:14">
      <c r="A76" t="s">
        <v>532</v>
      </c>
      <c r="B76" s="13" t="s">
        <v>142</v>
      </c>
      <c r="C76" t="b">
        <f ca="1">OR(AND(ISNUMBER(SEARCH(B75,I2)),H2&gt;G2),(AND(ISNUMBER(SEARCH(B76,I2)),H2&lt;G2)))</f>
        <v>0</v>
      </c>
      <c r="F76" t="str">
        <f ca="1">IF(ISNA(VLOOKUP(B76,J3:J9,1,FALSE)), "FALSE", "TRUE")</f>
        <v>FALSE</v>
      </c>
      <c r="M76" t="s">
        <v>532</v>
      </c>
      <c r="N76" s="13" t="s">
        <v>142</v>
      </c>
    </row>
    <row r="77" spans="1:14">
      <c r="A77" t="s">
        <v>533</v>
      </c>
      <c r="B77" s="13" t="s">
        <v>143</v>
      </c>
      <c r="C77" t="b">
        <f ca="1">OR(AND(ISNUMBER(SEARCH(B76,I2)),H2&gt;G2),(AND(ISNUMBER(SEARCH(B77,I2)),H2&lt;G2)))</f>
        <v>0</v>
      </c>
      <c r="F77" t="str">
        <f ca="1">IF(ISNA(VLOOKUP(B77,J3:J9,1,FALSE)), "FALSE", "TRUE")</f>
        <v>FALSE</v>
      </c>
      <c r="M77" t="s">
        <v>533</v>
      </c>
      <c r="N77" s="13" t="s">
        <v>143</v>
      </c>
    </row>
    <row r="78" spans="1:14">
      <c r="A78" t="s">
        <v>534</v>
      </c>
      <c r="B78" s="13" t="s">
        <v>144</v>
      </c>
      <c r="C78" t="b">
        <f ca="1">OR(AND(ISNUMBER(SEARCH(B77,I2)),H2&gt;G2),(AND(ISNUMBER(SEARCH(B78,I2)),H2&lt;G2)))</f>
        <v>0</v>
      </c>
      <c r="F78" t="str">
        <f ca="1">IF(ISNA(VLOOKUP(B78,J3:J9,1,FALSE)), "FALSE", "TRUE")</f>
        <v>FALSE</v>
      </c>
      <c r="M78" t="s">
        <v>534</v>
      </c>
      <c r="N78" s="13" t="s">
        <v>144</v>
      </c>
    </row>
    <row r="79" spans="1:14">
      <c r="A79" t="s">
        <v>535</v>
      </c>
      <c r="B79" s="13" t="s">
        <v>145</v>
      </c>
      <c r="C79" t="b">
        <f ca="1">OR(AND(ISNUMBER(SEARCH(B78,I2)),H2&gt;G2),(AND(ISNUMBER(SEARCH(B79,I2)),H2&lt;G2)))</f>
        <v>0</v>
      </c>
      <c r="F79" t="str">
        <f ca="1">IF(ISNA(VLOOKUP(B79,J3:J9,1,FALSE)), "FALSE", "TRUE")</f>
        <v>FALSE</v>
      </c>
      <c r="M79" t="s">
        <v>535</v>
      </c>
      <c r="N79" s="13" t="s">
        <v>145</v>
      </c>
    </row>
    <row r="80" spans="1:14">
      <c r="A80" t="s">
        <v>536</v>
      </c>
      <c r="B80" s="13" t="s">
        <v>146</v>
      </c>
      <c r="C80" t="b">
        <f ca="1">OR(AND(ISNUMBER(SEARCH(B79,I2)),H2&gt;G2),(AND(ISNUMBER(SEARCH(B80,I2)),H2&lt;G2)))</f>
        <v>0</v>
      </c>
      <c r="F80" t="str">
        <f ca="1">IF(ISNA(VLOOKUP(B80,J3:J9,1,FALSE)), "FALSE", "TRUE")</f>
        <v>FALSE</v>
      </c>
      <c r="M80" t="s">
        <v>536</v>
      </c>
      <c r="N80" s="13" t="s">
        <v>146</v>
      </c>
    </row>
    <row r="81" spans="1:14">
      <c r="A81" t="s">
        <v>537</v>
      </c>
      <c r="B81" s="13" t="s">
        <v>147</v>
      </c>
      <c r="C81" t="b">
        <f ca="1">OR(AND(ISNUMBER(SEARCH(B80,I2)),H2&gt;G2),(AND(ISNUMBER(SEARCH(B81,I2)),H2&lt;G2)))</f>
        <v>0</v>
      </c>
      <c r="F81" t="str">
        <f ca="1">IF(ISNA(VLOOKUP(B81,J3:J9,1,FALSE)), "FALSE", "TRUE")</f>
        <v>FALSE</v>
      </c>
      <c r="M81" t="s">
        <v>537</v>
      </c>
      <c r="N81" s="13" t="s">
        <v>147</v>
      </c>
    </row>
    <row r="82" spans="1:14">
      <c r="A82" t="s">
        <v>538</v>
      </c>
      <c r="B82" s="13" t="s">
        <v>148</v>
      </c>
      <c r="C82" t="b">
        <f ca="1">OR(AND(ISNUMBER(SEARCH(B81,I2)),H2&gt;G2),(AND(ISNUMBER(SEARCH(B82,I2)),H2&lt;G2)))</f>
        <v>0</v>
      </c>
      <c r="F82" t="str">
        <f ca="1">IF(ISNA(VLOOKUP(B82,J3:J9,1,FALSE)), "FALSE", "TRUE")</f>
        <v>FALSE</v>
      </c>
      <c r="M82" t="s">
        <v>538</v>
      </c>
      <c r="N82" s="13" t="s">
        <v>148</v>
      </c>
    </row>
    <row r="83" spans="1:14">
      <c r="A83" t="s">
        <v>539</v>
      </c>
      <c r="B83" s="13" t="s">
        <v>149</v>
      </c>
      <c r="C83" t="b">
        <f ca="1">OR(AND(ISNUMBER(SEARCH(B82,I2)),H2&gt;G2),(AND(ISNUMBER(SEARCH(B83,I2)),H2&lt;G2)))</f>
        <v>0</v>
      </c>
      <c r="F83" t="str">
        <f ca="1">IF(ISNA(VLOOKUP(B83,J3:J9,1,FALSE)), "FALSE", "TRUE")</f>
        <v>FALSE</v>
      </c>
      <c r="M83" t="s">
        <v>539</v>
      </c>
      <c r="N83" s="13" t="s">
        <v>149</v>
      </c>
    </row>
    <row r="84" spans="1:14">
      <c r="A84" t="s">
        <v>540</v>
      </c>
      <c r="B84" s="13" t="s">
        <v>150</v>
      </c>
      <c r="C84" t="b">
        <f ca="1">OR(AND(ISNUMBER(SEARCH(B83,I2)),H2&gt;G2),(AND(ISNUMBER(SEARCH(B84,I2)),H2&lt;G2)))</f>
        <v>0</v>
      </c>
      <c r="F84" t="str">
        <f ca="1">IF(ISNA(VLOOKUP(B84,J3:J9,1,FALSE)), "FALSE", "TRUE")</f>
        <v>FALSE</v>
      </c>
      <c r="M84" t="s">
        <v>540</v>
      </c>
      <c r="N84" s="13" t="s">
        <v>150</v>
      </c>
    </row>
    <row r="85" spans="1:14">
      <c r="A85" t="s">
        <v>541</v>
      </c>
      <c r="B85" s="13" t="s">
        <v>151</v>
      </c>
      <c r="C85" t="b">
        <f ca="1">OR(AND(ISNUMBER(SEARCH(B84,I2)),H2&gt;G2),(AND(ISNUMBER(SEARCH(B85,I2)),H2&lt;G2)))</f>
        <v>0</v>
      </c>
      <c r="F85" t="str">
        <f ca="1">IF(ISNA(VLOOKUP(B85,J3:J9,1,FALSE)), "FALSE", "TRUE")</f>
        <v>FALSE</v>
      </c>
      <c r="M85" t="s">
        <v>541</v>
      </c>
      <c r="N85" s="13" t="s">
        <v>151</v>
      </c>
    </row>
    <row r="86" spans="1:14">
      <c r="A86" t="s">
        <v>542</v>
      </c>
      <c r="B86" s="13" t="s">
        <v>152</v>
      </c>
      <c r="C86" t="b">
        <f ca="1">OR(AND(ISNUMBER(SEARCH(B85,I2)),H2&gt;G2),(AND(ISNUMBER(SEARCH(B86,I2)),H2&lt;G2)))</f>
        <v>0</v>
      </c>
      <c r="D86" s="13" t="s">
        <v>855</v>
      </c>
      <c r="F86" t="str">
        <f ca="1">IF(ISNA(VLOOKUP(B86,J3:J9,1,FALSE)), "FALSE", "TRUE")</f>
        <v>FALSE</v>
      </c>
      <c r="K86" s="13" t="s">
        <v>827</v>
      </c>
      <c r="M86" t="s">
        <v>542</v>
      </c>
      <c r="N86" s="13" t="s">
        <v>152</v>
      </c>
    </row>
    <row r="87" spans="1:14">
      <c r="A87" t="s">
        <v>543</v>
      </c>
      <c r="B87" s="13" t="s">
        <v>153</v>
      </c>
      <c r="C87" t="b">
        <f ca="1">OR(AND(ISNUMBER(SEARCH(B86,I2)),H2&gt;G2),(AND(ISNUMBER(SEARCH(B87,I2)),H2&lt;G2)))</f>
        <v>0</v>
      </c>
      <c r="D87" s="13" t="s">
        <v>855</v>
      </c>
      <c r="F87" t="str">
        <f ca="1">IF(ISNA(VLOOKUP(B87,J3:J9,1,FALSE)), "FALSE", "TRUE")</f>
        <v>FALSE</v>
      </c>
      <c r="K87" s="13" t="s">
        <v>828</v>
      </c>
      <c r="M87" t="s">
        <v>543</v>
      </c>
      <c r="N87" s="13" t="s">
        <v>153</v>
      </c>
    </row>
    <row r="88" spans="1:14">
      <c r="A88" t="s">
        <v>544</v>
      </c>
      <c r="B88" s="13" t="s">
        <v>154</v>
      </c>
      <c r="C88" t="b">
        <f ca="1">OR(AND(ISNUMBER(SEARCH(B87,I2)),H2&gt;G2),(AND(ISNUMBER(SEARCH(B88,I2)),H2&lt;G2)))</f>
        <v>0</v>
      </c>
      <c r="D88" s="13" t="s">
        <v>855</v>
      </c>
      <c r="F88" t="str">
        <f ca="1">IF(ISNA(VLOOKUP(B88,J3:J9,1,FALSE)), "FALSE", "TRUE")</f>
        <v>FALSE</v>
      </c>
      <c r="K88" s="13" t="s">
        <v>829</v>
      </c>
      <c r="M88" t="s">
        <v>544</v>
      </c>
      <c r="N88" s="13" t="s">
        <v>154</v>
      </c>
    </row>
    <row r="89" spans="1:14">
      <c r="A89" t="s">
        <v>545</v>
      </c>
      <c r="B89" s="13" t="s">
        <v>155</v>
      </c>
      <c r="C89" t="b">
        <f ca="1">OR(AND(ISNUMBER(SEARCH(B88,I2)),H2&gt;G2),(AND(ISNUMBER(SEARCH(B89,I2)),H2&lt;G2)))</f>
        <v>0</v>
      </c>
      <c r="D89" s="13" t="s">
        <v>855</v>
      </c>
      <c r="F89" t="str">
        <f ca="1">IF(ISNA(VLOOKUP(B89,J3:J9,1,FALSE)), "FALSE", "TRUE")</f>
        <v>FALSE</v>
      </c>
      <c r="K89" s="13" t="s">
        <v>830</v>
      </c>
      <c r="M89" t="s">
        <v>545</v>
      </c>
      <c r="N89" s="13" t="s">
        <v>155</v>
      </c>
    </row>
    <row r="90" spans="1:14">
      <c r="A90" t="s">
        <v>546</v>
      </c>
      <c r="B90" s="13" t="s">
        <v>156</v>
      </c>
      <c r="C90" t="b">
        <f ca="1">OR(AND(ISNUMBER(SEARCH(B89,I2)),H2&gt;G2),(AND(ISNUMBER(SEARCH(B90,I2)),H2&lt;G2)))</f>
        <v>0</v>
      </c>
      <c r="D90" s="13" t="s">
        <v>855</v>
      </c>
      <c r="F90" t="str">
        <f ca="1">IF(ISNA(VLOOKUP(B90,J3:J9,1,FALSE)), "FALSE", "TRUE")</f>
        <v>FALSE</v>
      </c>
      <c r="K90" s="13" t="s">
        <v>831</v>
      </c>
      <c r="M90" t="s">
        <v>546</v>
      </c>
      <c r="N90" s="13" t="s">
        <v>156</v>
      </c>
    </row>
    <row r="91" spans="1:14">
      <c r="A91" t="s">
        <v>547</v>
      </c>
      <c r="B91" s="13" t="s">
        <v>157</v>
      </c>
      <c r="C91" t="b">
        <f ca="1">OR(AND(ISNUMBER(SEARCH(B90,I2)),H2&gt;G2),(AND(ISNUMBER(SEARCH(B91,I2)),H2&lt;G2)))</f>
        <v>0</v>
      </c>
      <c r="D91" s="13" t="s">
        <v>855</v>
      </c>
      <c r="F91" t="str">
        <f ca="1">IF(ISNA(VLOOKUP(B91,J3:J9,1,FALSE)), "FALSE", "TRUE")</f>
        <v>FALSE</v>
      </c>
      <c r="K91" s="13" t="s">
        <v>832</v>
      </c>
      <c r="M91" t="s">
        <v>547</v>
      </c>
      <c r="N91" s="13" t="s">
        <v>157</v>
      </c>
    </row>
    <row r="92" spans="1:14">
      <c r="A92" t="s">
        <v>548</v>
      </c>
      <c r="B92" s="13" t="s">
        <v>158</v>
      </c>
      <c r="C92" t="b">
        <f ca="1">OR(AND(ISNUMBER(SEARCH(B91,I2)),H2&gt;G2),(AND(ISNUMBER(SEARCH(B92,I2)),H2&lt;G2)))</f>
        <v>0</v>
      </c>
      <c r="D92" s="13" t="s">
        <v>855</v>
      </c>
      <c r="F92" t="str">
        <f ca="1">IF(ISNA(VLOOKUP(B92,J3:J9,1,FALSE)), "FALSE", "TRUE")</f>
        <v>FALSE</v>
      </c>
      <c r="K92" s="13" t="s">
        <v>833</v>
      </c>
      <c r="M92" t="s">
        <v>548</v>
      </c>
      <c r="N92" s="13" t="s">
        <v>158</v>
      </c>
    </row>
    <row r="93" spans="1:14">
      <c r="A93" t="s">
        <v>549</v>
      </c>
      <c r="B93" s="13" t="s">
        <v>159</v>
      </c>
      <c r="C93" t="b">
        <f ca="1">OR(AND(ISNUMBER(SEARCH(B92,I2)),H2&gt;G2),(AND(ISNUMBER(SEARCH(B93,I2)),H2&lt;G2)))</f>
        <v>0</v>
      </c>
      <c r="D93" s="13" t="s">
        <v>855</v>
      </c>
      <c r="F93" t="str">
        <f ca="1">IF(ISNA(VLOOKUP(B93,J3:J9,1,FALSE)), "FALSE", "TRUE")</f>
        <v>FALSE</v>
      </c>
      <c r="K93" s="13" t="s">
        <v>834</v>
      </c>
      <c r="M93" t="s">
        <v>549</v>
      </c>
      <c r="N93" s="13" t="s">
        <v>159</v>
      </c>
    </row>
    <row r="94" spans="1:14">
      <c r="A94" t="s">
        <v>550</v>
      </c>
      <c r="B94" s="13" t="s">
        <v>160</v>
      </c>
      <c r="C94" t="b">
        <f ca="1">OR(AND(ISNUMBER(SEARCH(B93,I2)),H2&gt;G2),(AND(ISNUMBER(SEARCH(B94,I2)),H2&lt;G2)))</f>
        <v>0</v>
      </c>
      <c r="F94" t="str">
        <f ca="1">IF(ISNA(VLOOKUP(B94,J3:J9,1,FALSE)), "FALSE", "TRUE")</f>
        <v>FALSE</v>
      </c>
      <c r="M94" t="s">
        <v>550</v>
      </c>
      <c r="N94" s="13" t="s">
        <v>160</v>
      </c>
    </row>
    <row r="95" spans="1:14">
      <c r="A95" t="s">
        <v>551</v>
      </c>
      <c r="B95" s="13" t="s">
        <v>161</v>
      </c>
      <c r="C95" t="b">
        <f ca="1">OR(AND(ISNUMBER(SEARCH(B94,I2)),H2&gt;G2),(AND(ISNUMBER(SEARCH(B95,I2)),H2&lt;G2)))</f>
        <v>0</v>
      </c>
      <c r="F95" t="str">
        <f ca="1">IF(ISNA(VLOOKUP(B95,J3:J9,1,FALSE)), "FALSE", "TRUE")</f>
        <v>FALSE</v>
      </c>
      <c r="M95" t="s">
        <v>551</v>
      </c>
      <c r="N95" s="13" t="s">
        <v>161</v>
      </c>
    </row>
    <row r="96" spans="1:14">
      <c r="A96" t="s">
        <v>552</v>
      </c>
      <c r="B96" s="13" t="s">
        <v>162</v>
      </c>
      <c r="C96" t="b">
        <f ca="1">OR(AND(ISNUMBER(SEARCH(B95,I2)),H2&gt;G2),(AND(ISNUMBER(SEARCH(B96,I2)),H2&lt;G2)))</f>
        <v>0</v>
      </c>
      <c r="F96" t="str">
        <f ca="1">IF(ISNA(VLOOKUP(B96,J3:J9,1,FALSE)), "FALSE", "TRUE")</f>
        <v>FALSE</v>
      </c>
      <c r="M96" t="s">
        <v>552</v>
      </c>
      <c r="N96" s="13" t="s">
        <v>162</v>
      </c>
    </row>
    <row r="97" spans="1:14">
      <c r="A97" t="s">
        <v>553</v>
      </c>
      <c r="B97" s="13" t="s">
        <v>163</v>
      </c>
      <c r="C97" t="b">
        <f ca="1">OR(AND(ISNUMBER(SEARCH(B96,I2)),H2&gt;G2),(AND(ISNUMBER(SEARCH(B97,I2)),H2&lt;G2)))</f>
        <v>0</v>
      </c>
      <c r="E97" s="13"/>
      <c r="F97" t="str">
        <f ca="1">IF(ISNA(VLOOKUP(B97,J3:J9,1,FALSE)), "FALSE", "TRUE")</f>
        <v>FALSE</v>
      </c>
      <c r="M97" t="s">
        <v>553</v>
      </c>
      <c r="N97" s="13" t="s">
        <v>163</v>
      </c>
    </row>
    <row r="98" spans="1:14">
      <c r="A98" t="s">
        <v>554</v>
      </c>
      <c r="B98" s="13" t="s">
        <v>164</v>
      </c>
      <c r="C98" t="b">
        <f ca="1">OR(AND(ISNUMBER(SEARCH(B97,I2)),H2&gt;G2),(AND(ISNUMBER(SEARCH(B98,I2)),H2&lt;G2)))</f>
        <v>0</v>
      </c>
      <c r="E98" s="13"/>
      <c r="F98" t="str">
        <f ca="1">IF(ISNA(VLOOKUP(B98,J3:J9,1,FALSE)), "FALSE", "TRUE")</f>
        <v>FALSE</v>
      </c>
      <c r="M98" t="s">
        <v>554</v>
      </c>
      <c r="N98" s="13" t="s">
        <v>164</v>
      </c>
    </row>
    <row r="99" spans="1:14">
      <c r="A99" t="s">
        <v>555</v>
      </c>
      <c r="B99" s="13" t="s">
        <v>165</v>
      </c>
      <c r="C99" t="b">
        <f ca="1">OR(AND(ISNUMBER(SEARCH(B98,I2)),H2&gt;G2),(AND(ISNUMBER(SEARCH(B99,I2)),H2&lt;G2)))</f>
        <v>0</v>
      </c>
      <c r="E99" s="13"/>
      <c r="F99" t="str">
        <f ca="1">IF(ISNA(VLOOKUP(B99,J3:J9,1,FALSE)), "FALSE", "TRUE")</f>
        <v>FALSE</v>
      </c>
      <c r="M99" t="s">
        <v>555</v>
      </c>
      <c r="N99" s="13" t="s">
        <v>165</v>
      </c>
    </row>
    <row r="100" spans="1:14">
      <c r="A100" t="s">
        <v>556</v>
      </c>
      <c r="B100" s="13" t="s">
        <v>166</v>
      </c>
      <c r="C100" t="b">
        <f ca="1">OR(AND(ISNUMBER(SEARCH(B99,I2)),H2&gt;G2),(AND(ISNUMBER(SEARCH(B100,I2)),H2&lt;G2)))</f>
        <v>0</v>
      </c>
      <c r="E100" s="13"/>
      <c r="F100" t="str">
        <f ca="1">IF(ISNA(VLOOKUP(B100,J3:J9,1,FALSE)), "FALSE", "TRUE")</f>
        <v>FALSE</v>
      </c>
      <c r="M100" t="s">
        <v>556</v>
      </c>
      <c r="N100" s="13" t="s">
        <v>166</v>
      </c>
    </row>
    <row r="101" spans="1:14">
      <c r="A101" t="s">
        <v>557</v>
      </c>
      <c r="B101" s="13" t="s">
        <v>167</v>
      </c>
      <c r="C101" t="b">
        <f ca="1">OR(AND(ISNUMBER(SEARCH(B100,I2)),H2&gt;G2),(AND(ISNUMBER(SEARCH(B101,I2)),H2&lt;G2)))</f>
        <v>0</v>
      </c>
      <c r="E101" s="13"/>
      <c r="F101" t="str">
        <f ca="1">IF(ISNA(VLOOKUP(B101,J3:J9,1,FALSE)), "FALSE", "TRUE")</f>
        <v>FALSE</v>
      </c>
      <c r="M101" t="s">
        <v>557</v>
      </c>
      <c r="N101" s="13" t="s">
        <v>167</v>
      </c>
    </row>
    <row r="102" spans="1:14">
      <c r="A102" t="s">
        <v>558</v>
      </c>
      <c r="B102" s="13" t="s">
        <v>168</v>
      </c>
      <c r="C102" t="b">
        <f ca="1">OR(AND(ISNUMBER(SEARCH(B101,I2)),H2&gt;G2),(AND(ISNUMBER(SEARCH(B102,I2)),H2&lt;G2)))</f>
        <v>0</v>
      </c>
      <c r="E102" s="13"/>
      <c r="F102" t="str">
        <f ca="1">IF(ISNA(VLOOKUP(B102,J3:J9,1,FALSE)), "FALSE", "TRUE")</f>
        <v>FALSE</v>
      </c>
      <c r="M102" t="s">
        <v>558</v>
      </c>
      <c r="N102" s="13" t="s">
        <v>168</v>
      </c>
    </row>
    <row r="103" spans="1:14">
      <c r="A103" t="s">
        <v>559</v>
      </c>
      <c r="B103" s="13" t="s">
        <v>169</v>
      </c>
      <c r="C103" t="b">
        <f ca="1">OR(AND(ISNUMBER(SEARCH(B102,I2)),H2&gt;G2),(AND(ISNUMBER(SEARCH(B103,I2)),H2&lt;G2)))</f>
        <v>0</v>
      </c>
      <c r="E103" s="13"/>
      <c r="F103" t="str">
        <f ca="1">IF(ISNA(VLOOKUP(B103,J3:J9,1,FALSE)), "FALSE", "TRUE")</f>
        <v>FALSE</v>
      </c>
      <c r="M103" t="s">
        <v>559</v>
      </c>
      <c r="N103" s="13" t="s">
        <v>169</v>
      </c>
    </row>
    <row r="104" spans="1:14">
      <c r="A104" t="s">
        <v>560</v>
      </c>
      <c r="B104" s="13" t="s">
        <v>170</v>
      </c>
      <c r="C104" t="b">
        <f ca="1">OR(AND(ISNUMBER(SEARCH(B103,I2)),H2&gt;G2),(AND(ISNUMBER(SEARCH(B104,I2)),H2&lt;G2)))</f>
        <v>0</v>
      </c>
      <c r="F104" t="str">
        <f ca="1">IF(ISNA(VLOOKUP(B104,J3:J9,1,FALSE)), "FALSE", "TRUE")</f>
        <v>FALSE</v>
      </c>
      <c r="M104" t="s">
        <v>560</v>
      </c>
      <c r="N104" s="13" t="s">
        <v>170</v>
      </c>
    </row>
    <row r="105" spans="1:14">
      <c r="A105" t="s">
        <v>561</v>
      </c>
      <c r="B105" s="13" t="s">
        <v>171</v>
      </c>
      <c r="C105" t="b">
        <f ca="1">OR(AND(ISNUMBER(SEARCH(B104,I2)),H2&gt;G2),(AND(ISNUMBER(SEARCH(B105,I2)),H2&lt;G2)))</f>
        <v>0</v>
      </c>
      <c r="F105" t="str">
        <f ca="1">IF(ISNA(VLOOKUP(B105,J3:J9,1,FALSE)), "FALSE", "TRUE")</f>
        <v>FALSE</v>
      </c>
      <c r="M105" t="s">
        <v>561</v>
      </c>
      <c r="N105" s="13" t="s">
        <v>171</v>
      </c>
    </row>
    <row r="106" spans="1:14">
      <c r="A106" t="s">
        <v>562</v>
      </c>
      <c r="B106" s="13" t="s">
        <v>172</v>
      </c>
      <c r="C106" t="b">
        <f ca="1">OR(AND(ISNUMBER(SEARCH(B105,I2)),H2&gt;G2),(AND(ISNUMBER(SEARCH(B106,I2)),H2&lt;G2)))</f>
        <v>0</v>
      </c>
      <c r="F106" t="str">
        <f ca="1">IF(ISNA(VLOOKUP(B106,J3:J9,1,FALSE)), "FALSE", "TRUE")</f>
        <v>FALSE</v>
      </c>
      <c r="M106" t="s">
        <v>562</v>
      </c>
      <c r="N106" s="13" t="s">
        <v>172</v>
      </c>
    </row>
    <row r="107" spans="1:14">
      <c r="A107" t="s">
        <v>563</v>
      </c>
      <c r="B107" s="13" t="s">
        <v>173</v>
      </c>
      <c r="C107" t="b">
        <f ca="1">OR(AND(ISNUMBER(SEARCH(B106,I2)),H2&gt;G2),(AND(ISNUMBER(SEARCH(B107,I2)),H2&lt;G2)))</f>
        <v>0</v>
      </c>
      <c r="F107" t="str">
        <f ca="1">IF(ISNA(VLOOKUP(B107,J3:J9,1,FALSE)), "FALSE", "TRUE")</f>
        <v>FALSE</v>
      </c>
      <c r="M107" t="s">
        <v>563</v>
      </c>
      <c r="N107" s="13" t="s">
        <v>173</v>
      </c>
    </row>
    <row r="108" spans="1:14">
      <c r="A108" t="s">
        <v>564</v>
      </c>
      <c r="B108" s="13" t="s">
        <v>174</v>
      </c>
      <c r="C108" t="b">
        <f ca="1">OR(AND(ISNUMBER(SEARCH(B107,I2)),H2&gt;G2),(AND(ISNUMBER(SEARCH(B108,I2)),H2&lt;G2)))</f>
        <v>0</v>
      </c>
      <c r="F108" t="str">
        <f ca="1">IF(ISNA(VLOOKUP(B108,J3:J9,1,FALSE)), "FALSE", "TRUE")</f>
        <v>FALSE</v>
      </c>
      <c r="M108" t="s">
        <v>564</v>
      </c>
      <c r="N108" s="13" t="s">
        <v>174</v>
      </c>
    </row>
    <row r="109" spans="1:14">
      <c r="A109" t="s">
        <v>565</v>
      </c>
      <c r="B109" s="13" t="s">
        <v>175</v>
      </c>
      <c r="C109" t="b">
        <f ca="1">OR(AND(ISNUMBER(SEARCH(B108,I2)),H2&gt;G2),(AND(ISNUMBER(SEARCH(B109,I2)),H2&lt;G2)))</f>
        <v>0</v>
      </c>
      <c r="F109" t="str">
        <f ca="1">IF(ISNA(VLOOKUP(B109,J3:J9,1,FALSE)), "FALSE", "TRUE")</f>
        <v>FALSE</v>
      </c>
      <c r="M109" t="s">
        <v>565</v>
      </c>
      <c r="N109" s="13" t="s">
        <v>175</v>
      </c>
    </row>
    <row r="110" spans="1:14">
      <c r="A110" t="s">
        <v>566</v>
      </c>
      <c r="B110" s="13" t="s">
        <v>176</v>
      </c>
      <c r="C110" t="b">
        <f ca="1">OR(AND(ISNUMBER(SEARCH(B109,I2)),H2&gt;G2),(AND(ISNUMBER(SEARCH(B110,I2)),H2&lt;G2)))</f>
        <v>0</v>
      </c>
      <c r="F110" t="str">
        <f ca="1">IF(ISNA(VLOOKUP(B110,J3:J9,1,FALSE)), "FALSE", "TRUE")</f>
        <v>FALSE</v>
      </c>
      <c r="M110" t="s">
        <v>566</v>
      </c>
      <c r="N110" s="13" t="s">
        <v>176</v>
      </c>
    </row>
    <row r="111" spans="1:14">
      <c r="A111" t="s">
        <v>567</v>
      </c>
      <c r="B111" s="13" t="s">
        <v>177</v>
      </c>
      <c r="C111" t="b">
        <f ca="1">OR(AND(ISNUMBER(SEARCH(B110,I2)),H2&gt;G2),(AND(ISNUMBER(SEARCH(B111,I2)),H2&lt;G2)))</f>
        <v>0</v>
      </c>
      <c r="F111" t="str">
        <f ca="1">IF(ISNA(VLOOKUP(B111,J3:J9,1,FALSE)), "FALSE", "TRUE")</f>
        <v>FALSE</v>
      </c>
      <c r="M111" t="s">
        <v>567</v>
      </c>
      <c r="N111" s="13" t="s">
        <v>177</v>
      </c>
    </row>
    <row r="112" spans="1:14">
      <c r="A112" t="s">
        <v>568</v>
      </c>
      <c r="B112" s="13" t="s">
        <v>178</v>
      </c>
      <c r="C112" t="b">
        <f ca="1">OR(AND(ISNUMBER(SEARCH(B111,I2)),H2&gt;G2),(AND(ISNUMBER(SEARCH(B112,I2)),H2&lt;G2)))</f>
        <v>0</v>
      </c>
      <c r="F112" t="str">
        <f ca="1">IF(ISNA(VLOOKUP(B112,J3:J9,1,FALSE)), "FALSE", "TRUE")</f>
        <v>FALSE</v>
      </c>
      <c r="M112" t="s">
        <v>568</v>
      </c>
      <c r="N112" s="13" t="s">
        <v>178</v>
      </c>
    </row>
    <row r="113" spans="1:14">
      <c r="A113" t="s">
        <v>569</v>
      </c>
      <c r="B113" s="13" t="s">
        <v>179</v>
      </c>
      <c r="C113" t="b">
        <f ca="1">OR(AND(ISNUMBER(SEARCH(B112,I2)),H2&gt;G2),(AND(ISNUMBER(SEARCH(B113,I2)),H2&lt;G2)))</f>
        <v>0</v>
      </c>
      <c r="F113" t="str">
        <f ca="1">IF(ISNA(VLOOKUP(B113,J3:J9,1,FALSE)), "FALSE", "TRUE")</f>
        <v>FALSE</v>
      </c>
      <c r="M113" t="s">
        <v>569</v>
      </c>
      <c r="N113" s="13" t="s">
        <v>179</v>
      </c>
    </row>
    <row r="114" spans="1:14">
      <c r="A114" t="s">
        <v>570</v>
      </c>
      <c r="B114" s="13" t="s">
        <v>180</v>
      </c>
      <c r="C114" t="b">
        <f ca="1">OR(AND(ISNUMBER(SEARCH(B113,I2)),H2&gt;G2),(AND(ISNUMBER(SEARCH(B114,I2)),H2&lt;G2)))</f>
        <v>0</v>
      </c>
      <c r="F114" t="str">
        <f ca="1">IF(ISNA(VLOOKUP(B114,J3:J9,1,FALSE)), "FALSE", "TRUE")</f>
        <v>FALSE</v>
      </c>
      <c r="M114" t="s">
        <v>570</v>
      </c>
      <c r="N114" s="13" t="s">
        <v>180</v>
      </c>
    </row>
    <row r="115" spans="1:14">
      <c r="A115" t="s">
        <v>571</v>
      </c>
      <c r="B115" s="13" t="s">
        <v>181</v>
      </c>
      <c r="C115" t="b">
        <f ca="1">OR(AND(ISNUMBER(SEARCH(B114,I2)),H2&gt;G2),(AND(ISNUMBER(SEARCH(B115,I2)),H2&lt;G2)))</f>
        <v>0</v>
      </c>
      <c r="F115" t="str">
        <f ca="1">IF(ISNA(VLOOKUP(B115,J3:J9,1,FALSE)), "FALSE", "TRUE")</f>
        <v>FALSE</v>
      </c>
      <c r="M115" t="s">
        <v>571</v>
      </c>
      <c r="N115" s="13" t="s">
        <v>181</v>
      </c>
    </row>
    <row r="116" spans="1:14">
      <c r="A116" t="s">
        <v>572</v>
      </c>
      <c r="B116" s="13" t="s">
        <v>182</v>
      </c>
      <c r="C116" t="b">
        <f ca="1">OR(AND(ISNUMBER(SEARCH(B115,I2)),H2&gt;G2),(AND(ISNUMBER(SEARCH(B116,I2)),H2&lt;G2)))</f>
        <v>0</v>
      </c>
      <c r="F116" t="str">
        <f ca="1">IF(ISNA(VLOOKUP(B116,J3:J9,1,FALSE)), "FALSE", "TRUE")</f>
        <v>FALSE</v>
      </c>
      <c r="M116" t="s">
        <v>572</v>
      </c>
      <c r="N116" s="13" t="s">
        <v>182</v>
      </c>
    </row>
    <row r="117" spans="1:14">
      <c r="A117" t="s">
        <v>573</v>
      </c>
      <c r="B117" s="13" t="s">
        <v>183</v>
      </c>
      <c r="C117" t="b">
        <f ca="1">OR(AND(ISNUMBER(SEARCH(B116,I2)),H2&gt;G2),(AND(ISNUMBER(SEARCH(B117,I2)),H2&lt;G2)))</f>
        <v>0</v>
      </c>
      <c r="F117" t="str">
        <f ca="1">IF(ISNA(VLOOKUP(B117,J3:J9,1,FALSE)), "FALSE", "TRUE")</f>
        <v>FALSE</v>
      </c>
      <c r="M117" t="s">
        <v>573</v>
      </c>
      <c r="N117" s="13" t="s">
        <v>183</v>
      </c>
    </row>
    <row r="118" spans="1:14">
      <c r="A118" t="s">
        <v>574</v>
      </c>
      <c r="B118" s="13" t="s">
        <v>184</v>
      </c>
      <c r="C118" t="b">
        <f ca="1">OR(AND(ISNUMBER(SEARCH(B117,I2)),H2&gt;G2),(AND(ISNUMBER(SEARCH(B118,I2)),H2&lt;G2)))</f>
        <v>0</v>
      </c>
      <c r="F118" t="str">
        <f ca="1">IF(ISNA(VLOOKUP(B118,J3:J9,1,FALSE)), "FALSE", "TRUE")</f>
        <v>FALSE</v>
      </c>
      <c r="M118" t="s">
        <v>574</v>
      </c>
      <c r="N118" s="13" t="s">
        <v>184</v>
      </c>
    </row>
    <row r="119" spans="1:14">
      <c r="A119" t="s">
        <v>575</v>
      </c>
      <c r="B119" s="13" t="s">
        <v>185</v>
      </c>
      <c r="C119" t="b">
        <f ca="1">OR(AND(ISNUMBER(SEARCH(B118,I2)),H2&gt;G2),(AND(ISNUMBER(SEARCH(B119,I2)),H2&lt;G2)))</f>
        <v>0</v>
      </c>
      <c r="F119" t="str">
        <f ca="1">IF(ISNA(VLOOKUP(B119,J3:J9,1,FALSE)), "FALSE", "TRUE")</f>
        <v>FALSE</v>
      </c>
      <c r="M119" t="s">
        <v>575</v>
      </c>
      <c r="N119" s="13" t="s">
        <v>185</v>
      </c>
    </row>
    <row r="120" spans="1:14">
      <c r="A120" t="s">
        <v>576</v>
      </c>
      <c r="B120" s="13" t="s">
        <v>186</v>
      </c>
      <c r="C120" t="b">
        <f ca="1">OR(AND(ISNUMBER(SEARCH(B119,I2)),H2&gt;G2),(AND(ISNUMBER(SEARCH(B120,I2)),H2&lt;G2)))</f>
        <v>0</v>
      </c>
      <c r="F120" t="str">
        <f ca="1">IF(ISNA(VLOOKUP(B120,J3:J9,1,FALSE)), "FALSE", "TRUE")</f>
        <v>FALSE</v>
      </c>
      <c r="M120" t="s">
        <v>576</v>
      </c>
      <c r="N120" s="13" t="s">
        <v>186</v>
      </c>
    </row>
    <row r="121" spans="1:14">
      <c r="A121" t="s">
        <v>577</v>
      </c>
      <c r="B121" s="13" t="s">
        <v>187</v>
      </c>
      <c r="C121" t="b">
        <f ca="1">OR(AND(ISNUMBER(SEARCH(B120,I2)),H2&gt;G2),(AND(ISNUMBER(SEARCH(B121,I2)),H2&lt;G2)))</f>
        <v>0</v>
      </c>
      <c r="F121" t="str">
        <f ca="1">IF(ISNA(VLOOKUP(B121,J3:J9,1,FALSE)), "FALSE", "TRUE")</f>
        <v>FALSE</v>
      </c>
      <c r="M121" t="s">
        <v>577</v>
      </c>
      <c r="N121" s="13" t="s">
        <v>187</v>
      </c>
    </row>
    <row r="122" spans="1:14">
      <c r="A122" t="s">
        <v>578</v>
      </c>
      <c r="B122" s="13" t="s">
        <v>188</v>
      </c>
      <c r="C122" t="b">
        <f ca="1">OR(AND(ISNUMBER(SEARCH(B121,I2)),H2&gt;G2),(AND(ISNUMBER(SEARCH(B122,I2)),H2&lt;G2)))</f>
        <v>0</v>
      </c>
      <c r="F122" t="str">
        <f ca="1">IF(ISNA(VLOOKUP(B122,J3:J9,1,FALSE)), "FALSE", "TRUE")</f>
        <v>FALSE</v>
      </c>
      <c r="M122" t="s">
        <v>578</v>
      </c>
      <c r="N122" s="13" t="s">
        <v>188</v>
      </c>
    </row>
    <row r="123" spans="1:14">
      <c r="A123" t="s">
        <v>579</v>
      </c>
      <c r="B123" s="13" t="s">
        <v>189</v>
      </c>
      <c r="C123" t="b">
        <f ca="1">OR(AND(ISNUMBER(SEARCH(B122,I2)),H2&gt;G2),(AND(ISNUMBER(SEARCH(B123,I2)),H2&lt;G2)))</f>
        <v>0</v>
      </c>
      <c r="F123" t="str">
        <f ca="1">IF(ISNA(VLOOKUP(B123,J3:J9,1,FALSE)), "FALSE", "TRUE")</f>
        <v>FALSE</v>
      </c>
      <c r="M123" t="s">
        <v>579</v>
      </c>
      <c r="N123" s="13" t="s">
        <v>189</v>
      </c>
    </row>
    <row r="124" spans="1:14">
      <c r="A124" t="s">
        <v>580</v>
      </c>
      <c r="B124" s="13" t="s">
        <v>190</v>
      </c>
      <c r="C124" t="b">
        <f ca="1">OR(AND(ISNUMBER(SEARCH(B123,I2)),H2&gt;G2),(AND(ISNUMBER(SEARCH(B124,I2)),H2&lt;G2)))</f>
        <v>0</v>
      </c>
      <c r="F124" t="str">
        <f ca="1">IF(ISNA(VLOOKUP(B124,J3:J9,1,FALSE)), "FALSE", "TRUE")</f>
        <v>FALSE</v>
      </c>
      <c r="M124" t="s">
        <v>580</v>
      </c>
      <c r="N124" s="13" t="s">
        <v>190</v>
      </c>
    </row>
    <row r="125" spans="1:14">
      <c r="A125" t="s">
        <v>581</v>
      </c>
      <c r="B125" s="13" t="s">
        <v>191</v>
      </c>
      <c r="C125" t="b">
        <f ca="1">OR(AND(ISNUMBER(SEARCH(B124,I2)),H2&gt;G2),(AND(ISNUMBER(SEARCH(B125,I2)),H2&lt;G2)))</f>
        <v>0</v>
      </c>
      <c r="F125" t="str">
        <f ca="1">IF(ISNA(VLOOKUP(B125,J3:J9,1,FALSE)), "FALSE", "TRUE")</f>
        <v>FALSE</v>
      </c>
      <c r="M125" t="s">
        <v>581</v>
      </c>
      <c r="N125" s="13" t="s">
        <v>191</v>
      </c>
    </row>
    <row r="126" spans="1:14">
      <c r="A126" t="s">
        <v>582</v>
      </c>
      <c r="B126" s="13" t="s">
        <v>192</v>
      </c>
      <c r="C126" t="b">
        <f ca="1">OR(AND(ISNUMBER(SEARCH(B125,I2)),H2&gt;G2),(AND(ISNUMBER(SEARCH(B126,I2)),H2&lt;G2)))</f>
        <v>0</v>
      </c>
      <c r="F126" t="str">
        <f ca="1">IF(ISNA(VLOOKUP(B126,J3:J9,1,FALSE)), "FALSE", "TRUE")</f>
        <v>FALSE</v>
      </c>
      <c r="M126" t="s">
        <v>582</v>
      </c>
      <c r="N126" s="13" t="s">
        <v>192</v>
      </c>
    </row>
    <row r="127" spans="1:14">
      <c r="A127" t="s">
        <v>583</v>
      </c>
      <c r="B127" s="13" t="s">
        <v>193</v>
      </c>
      <c r="C127" t="b">
        <f ca="1">OR(AND(ISNUMBER(SEARCH(B126,I2)),H2&gt;G2),(AND(ISNUMBER(SEARCH(B127,I2)),H2&lt;G2)))</f>
        <v>0</v>
      </c>
      <c r="F127" t="str">
        <f ca="1">IF(ISNA(VLOOKUP(B127,J3:J9,1,FALSE)), "FALSE", "TRUE")</f>
        <v>FALSE</v>
      </c>
      <c r="M127" t="s">
        <v>583</v>
      </c>
      <c r="N127" s="13" t="s">
        <v>193</v>
      </c>
    </row>
    <row r="128" spans="1:14">
      <c r="A128" t="s">
        <v>584</v>
      </c>
      <c r="B128" s="13" t="s">
        <v>194</v>
      </c>
      <c r="C128" t="b">
        <f ca="1">OR(AND(ISNUMBER(SEARCH(B127,I2)),H2&gt;G2),(AND(ISNUMBER(SEARCH(B128,I2)),H2&lt;G2)))</f>
        <v>0</v>
      </c>
      <c r="F128" t="str">
        <f ca="1">IF(ISNA(VLOOKUP(B128,J3:J9,1,FALSE)), "FALSE", "TRUE")</f>
        <v>FALSE</v>
      </c>
      <c r="M128" t="s">
        <v>584</v>
      </c>
      <c r="N128" s="13" t="s">
        <v>194</v>
      </c>
    </row>
    <row r="129" spans="1:14">
      <c r="A129" t="s">
        <v>585</v>
      </c>
      <c r="B129" s="13" t="s">
        <v>195</v>
      </c>
      <c r="C129" t="b">
        <f ca="1">OR(AND(ISNUMBER(SEARCH(B128,I2)),H2&gt;G2),(AND(ISNUMBER(SEARCH(B129,I2)),H2&lt;G2)))</f>
        <v>0</v>
      </c>
      <c r="F129" t="str">
        <f ca="1">IF(ISNA(VLOOKUP(B129,J3:J9,1,FALSE)), "FALSE", "TRUE")</f>
        <v>FALSE</v>
      </c>
      <c r="M129" t="s">
        <v>585</v>
      </c>
      <c r="N129" s="13" t="s">
        <v>195</v>
      </c>
    </row>
    <row r="130" spans="1:14">
      <c r="A130" t="s">
        <v>586</v>
      </c>
      <c r="B130" s="13" t="s">
        <v>196</v>
      </c>
      <c r="C130" t="b">
        <f ca="1">OR(AND(ISNUMBER(SEARCH(B129,I2)),H2&gt;G2),(AND(ISNUMBER(SEARCH(B130,I2)),H2&lt;G2)))</f>
        <v>0</v>
      </c>
      <c r="F130" t="str">
        <f ca="1">IF(ISNA(VLOOKUP(B130,J3:J9,1,FALSE)), "FALSE", "TRUE")</f>
        <v>FALSE</v>
      </c>
      <c r="M130" t="s">
        <v>586</v>
      </c>
      <c r="N130" s="13" t="s">
        <v>196</v>
      </c>
    </row>
    <row r="131" spans="1:14">
      <c r="A131" t="s">
        <v>587</v>
      </c>
      <c r="B131" s="13" t="s">
        <v>197</v>
      </c>
      <c r="C131" t="b">
        <f ca="1">OR(AND(ISNUMBER(SEARCH(B130,I2)),H2&gt;G2),(AND(ISNUMBER(SEARCH(B131,I2)),H2&lt;G2)))</f>
        <v>0</v>
      </c>
      <c r="F131" t="str">
        <f ca="1">IF(ISNA(VLOOKUP(B131,J3:J9,1,FALSE)), "FALSE", "TRUE")</f>
        <v>FALSE</v>
      </c>
      <c r="M131" t="s">
        <v>587</v>
      </c>
      <c r="N131" s="13" t="s">
        <v>197</v>
      </c>
    </row>
    <row r="132" spans="1:14">
      <c r="A132" t="s">
        <v>588</v>
      </c>
      <c r="B132" s="13" t="s">
        <v>198</v>
      </c>
      <c r="C132" t="b">
        <f ca="1">OR(AND(ISNUMBER(SEARCH(B131,I2)),H2&gt;G2),(AND(ISNUMBER(SEARCH(B132,I2)),H2&lt;G2)))</f>
        <v>0</v>
      </c>
      <c r="F132" t="str">
        <f ca="1">IF(ISNA(VLOOKUP(B132,J3:J9,1,FALSE)), "FALSE", "TRUE")</f>
        <v>FALSE</v>
      </c>
      <c r="M132" t="s">
        <v>588</v>
      </c>
      <c r="N132" s="13" t="s">
        <v>198</v>
      </c>
    </row>
    <row r="133" spans="1:14">
      <c r="A133" t="s">
        <v>589</v>
      </c>
      <c r="B133" s="13" t="s">
        <v>199</v>
      </c>
      <c r="C133" t="b">
        <f ca="1">OR(AND(ISNUMBER(SEARCH(B132,I2)),H2&gt;G2),(AND(ISNUMBER(SEARCH(B133,I2)),H2&lt;G2)))</f>
        <v>0</v>
      </c>
      <c r="F133" t="str">
        <f ca="1">IF(ISNA(VLOOKUP(B133,J3:J9,1,FALSE)), "FALSE", "TRUE")</f>
        <v>FALSE</v>
      </c>
      <c r="M133" t="s">
        <v>589</v>
      </c>
      <c r="N133" s="13" t="s">
        <v>199</v>
      </c>
    </row>
    <row r="134" spans="1:14">
      <c r="A134" t="s">
        <v>590</v>
      </c>
      <c r="B134" s="13" t="s">
        <v>200</v>
      </c>
      <c r="C134" t="b">
        <f ca="1">OR(AND(ISNUMBER(SEARCH(B133,I2)),H2&gt;G2),(AND(ISNUMBER(SEARCH(B134,I2)),H2&lt;G2)))</f>
        <v>0</v>
      </c>
      <c r="F134" t="str">
        <f ca="1">IF(ISNA(VLOOKUP(B134,J3:J9,1,FALSE)), "FALSE", "TRUE")</f>
        <v>FALSE</v>
      </c>
      <c r="M134" t="s">
        <v>590</v>
      </c>
      <c r="N134" s="13" t="s">
        <v>200</v>
      </c>
    </row>
    <row r="135" spans="1:14">
      <c r="A135" t="s">
        <v>591</v>
      </c>
      <c r="B135" s="13" t="s">
        <v>201</v>
      </c>
      <c r="C135" t="b">
        <f ca="1">OR(AND(ISNUMBER(SEARCH(B134,I2)),H2&gt;G2),(AND(ISNUMBER(SEARCH(B135,I2)),H2&lt;G2)))</f>
        <v>0</v>
      </c>
      <c r="F135" t="str">
        <f ca="1">IF(ISNA(VLOOKUP(B135,J3:J9,1,FALSE)), "FALSE", "TRUE")</f>
        <v>FALSE</v>
      </c>
      <c r="M135" t="s">
        <v>591</v>
      </c>
      <c r="N135" s="13" t="s">
        <v>201</v>
      </c>
    </row>
    <row r="136" spans="1:14">
      <c r="A136" t="s">
        <v>592</v>
      </c>
      <c r="B136" s="13" t="s">
        <v>202</v>
      </c>
      <c r="C136" t="b">
        <f ca="1">OR(AND(ISNUMBER(SEARCH(B135,I2)),H2&gt;G2),(AND(ISNUMBER(SEARCH(B136,I2)),H2&lt;G2)))</f>
        <v>0</v>
      </c>
      <c r="D136" s="13" t="s">
        <v>856</v>
      </c>
      <c r="F136" t="str">
        <f ca="1">IF(ISNA(VLOOKUP(B136,J3:J9,1,FALSE)), "FALSE", "TRUE")</f>
        <v>FALSE</v>
      </c>
      <c r="K136" s="13" t="s">
        <v>835</v>
      </c>
      <c r="M136" t="s">
        <v>592</v>
      </c>
      <c r="N136" s="13" t="s">
        <v>202</v>
      </c>
    </row>
    <row r="137" spans="1:14">
      <c r="A137" t="s">
        <v>593</v>
      </c>
      <c r="B137" s="13" t="s">
        <v>203</v>
      </c>
      <c r="C137" t="b">
        <f ca="1">OR(AND(ISNUMBER(SEARCH(B136,I2)),H2&gt;G2),(AND(ISNUMBER(SEARCH(B137,I2)),H2&lt;G2)))</f>
        <v>0</v>
      </c>
      <c r="F137" t="str">
        <f ca="1">IF(ISNA(VLOOKUP(B137,J3:J9,1,FALSE)), "FALSE", "TRUE")</f>
        <v>FALSE</v>
      </c>
      <c r="M137" t="s">
        <v>593</v>
      </c>
      <c r="N137" s="13" t="s">
        <v>203</v>
      </c>
    </row>
    <row r="138" spans="1:14">
      <c r="A138" t="s">
        <v>594</v>
      </c>
      <c r="B138" s="13" t="s">
        <v>204</v>
      </c>
      <c r="C138" t="b">
        <f ca="1">OR(AND(ISNUMBER(SEARCH(B137,I2)),H2&gt;G2),(AND(ISNUMBER(SEARCH(B138,I2)),H2&lt;G2)))</f>
        <v>0</v>
      </c>
      <c r="F138" t="str">
        <f ca="1">IF(ISNA(VLOOKUP(B138,J3:J9,1,FALSE)), "FALSE", "TRUE")</f>
        <v>FALSE</v>
      </c>
      <c r="M138" t="s">
        <v>594</v>
      </c>
      <c r="N138" s="13" t="s">
        <v>204</v>
      </c>
    </row>
    <row r="139" spans="1:14">
      <c r="A139" t="s">
        <v>595</v>
      </c>
      <c r="B139" s="13" t="s">
        <v>205</v>
      </c>
      <c r="C139" t="b">
        <f ca="1">OR(AND(ISNUMBER(SEARCH(B138,I2)),H2&gt;G2),(AND(ISNUMBER(SEARCH(B139,I2)),H2&lt;G2)))</f>
        <v>0</v>
      </c>
      <c r="F139" t="str">
        <f ca="1">IF(ISNA(VLOOKUP(B139,J3:J9,1,FALSE)), "FALSE", "TRUE")</f>
        <v>FALSE</v>
      </c>
      <c r="M139" t="s">
        <v>595</v>
      </c>
      <c r="N139" s="13" t="s">
        <v>205</v>
      </c>
    </row>
    <row r="140" spans="1:14">
      <c r="A140" t="s">
        <v>596</v>
      </c>
      <c r="B140" s="13" t="s">
        <v>206</v>
      </c>
      <c r="C140" t="b">
        <f ca="1">OR(AND(ISNUMBER(SEARCH(B139,I2)),H2&gt;G2),(AND(ISNUMBER(SEARCH(B140,I2)),H2&lt;G2)))</f>
        <v>0</v>
      </c>
      <c r="F140" t="str">
        <f ca="1">IF(ISNA(VLOOKUP(B140,J3:J9,1,FALSE)), "FALSE", "TRUE")</f>
        <v>FALSE</v>
      </c>
      <c r="M140" t="s">
        <v>596</v>
      </c>
      <c r="N140" s="13" t="s">
        <v>206</v>
      </c>
    </row>
    <row r="141" spans="1:14">
      <c r="A141" t="s">
        <v>597</v>
      </c>
      <c r="B141" s="13" t="s">
        <v>207</v>
      </c>
      <c r="C141" t="b">
        <f ca="1">OR(AND(ISNUMBER(SEARCH(B140,I2)),H2&gt;G2),(AND(ISNUMBER(SEARCH(B141,I2)),H2&lt;G2)))</f>
        <v>0</v>
      </c>
      <c r="F141" t="str">
        <f ca="1">IF(ISNA(VLOOKUP(B141,J3:J9,1,FALSE)), "FALSE", "TRUE")</f>
        <v>FALSE</v>
      </c>
      <c r="M141" t="s">
        <v>597</v>
      </c>
      <c r="N141" s="13" t="s">
        <v>207</v>
      </c>
    </row>
    <row r="142" spans="1:14">
      <c r="A142" t="s">
        <v>598</v>
      </c>
      <c r="B142" s="13" t="s">
        <v>208</v>
      </c>
      <c r="C142" t="b">
        <f ca="1">OR(AND(ISNUMBER(SEARCH(B141,I2)),H2&gt;G2),(AND(ISNUMBER(SEARCH(B142,I2)),H2&lt;G2)))</f>
        <v>0</v>
      </c>
      <c r="F142" t="str">
        <f ca="1">IF(ISNA(VLOOKUP(B142,J3:J9,1,FALSE)), "FALSE", "TRUE")</f>
        <v>FALSE</v>
      </c>
      <c r="M142" t="s">
        <v>598</v>
      </c>
      <c r="N142" s="13" t="s">
        <v>208</v>
      </c>
    </row>
    <row r="143" spans="1:14">
      <c r="A143" t="s">
        <v>599</v>
      </c>
      <c r="B143" s="13" t="s">
        <v>209</v>
      </c>
      <c r="C143" t="b">
        <f ca="1">OR(AND(ISNUMBER(SEARCH(B142,I2)),H2&gt;G2),(AND(ISNUMBER(SEARCH(B143,I2)),H2&lt;G2)))</f>
        <v>0</v>
      </c>
      <c r="F143" t="str">
        <f ca="1">IF(ISNA(VLOOKUP(B143,J3:J9,1,FALSE)), "FALSE", "TRUE")</f>
        <v>FALSE</v>
      </c>
      <c r="M143" t="s">
        <v>599</v>
      </c>
      <c r="N143" s="13" t="s">
        <v>209</v>
      </c>
    </row>
    <row r="144" spans="1:14">
      <c r="A144" t="s">
        <v>600</v>
      </c>
      <c r="B144" s="13" t="s">
        <v>210</v>
      </c>
      <c r="C144" t="b">
        <f ca="1">OR(AND(ISNUMBER(SEARCH(B143,I2)),H2&gt;G2),(AND(ISNUMBER(SEARCH(B144,I2)),H2&lt;G2)))</f>
        <v>0</v>
      </c>
      <c r="F144" t="str">
        <f ca="1">IF(ISNA(VLOOKUP(B144,J3:J9,1,FALSE)), "FALSE", "TRUE")</f>
        <v>FALSE</v>
      </c>
      <c r="M144" t="s">
        <v>600</v>
      </c>
      <c r="N144" s="13" t="s">
        <v>210</v>
      </c>
    </row>
    <row r="145" spans="1:14">
      <c r="A145" t="s">
        <v>601</v>
      </c>
      <c r="B145" s="13" t="s">
        <v>211</v>
      </c>
      <c r="C145" t="b">
        <f ca="1">OR(AND(ISNUMBER(SEARCH(B144,I2)),H2&gt;G2),(AND(ISNUMBER(SEARCH(B145,I2)),H2&lt;G2)))</f>
        <v>0</v>
      </c>
      <c r="F145" t="str">
        <f ca="1">IF(ISNA(VLOOKUP(B145,J3:J9,1,FALSE)), "FALSE", "TRUE")</f>
        <v>FALSE</v>
      </c>
      <c r="M145" t="s">
        <v>601</v>
      </c>
      <c r="N145" s="13" t="s">
        <v>211</v>
      </c>
    </row>
    <row r="146" spans="1:14">
      <c r="A146" t="s">
        <v>602</v>
      </c>
      <c r="B146" s="13" t="s">
        <v>212</v>
      </c>
      <c r="C146" t="b">
        <f ca="1">OR(AND(ISNUMBER(SEARCH(B145,I2)),H2&gt;G2),(AND(ISNUMBER(SEARCH(B146,I2)),H2&lt;G2)))</f>
        <v>0</v>
      </c>
      <c r="F146" t="str">
        <f ca="1">IF(ISNA(VLOOKUP(B146,J3:J9,1,FALSE)), "FALSE", "TRUE")</f>
        <v>FALSE</v>
      </c>
      <c r="M146" t="s">
        <v>602</v>
      </c>
      <c r="N146" s="13" t="s">
        <v>212</v>
      </c>
    </row>
    <row r="147" spans="1:14">
      <c r="A147" t="s">
        <v>603</v>
      </c>
      <c r="B147" s="13" t="s">
        <v>213</v>
      </c>
      <c r="C147" t="b">
        <f ca="1">OR(AND(ISNUMBER(SEARCH(B146,I2)),H2&gt;G2),(AND(ISNUMBER(SEARCH(B147,I2)),H2&lt;G2)))</f>
        <v>0</v>
      </c>
      <c r="F147" t="str">
        <f ca="1">IF(ISNA(VLOOKUP(B147,J3:J9,1,FALSE)), "FALSE", "TRUE")</f>
        <v>FALSE</v>
      </c>
      <c r="M147" t="s">
        <v>603</v>
      </c>
      <c r="N147" s="13" t="s">
        <v>213</v>
      </c>
    </row>
    <row r="148" spans="1:14">
      <c r="A148" t="s">
        <v>604</v>
      </c>
      <c r="B148" s="13" t="s">
        <v>214</v>
      </c>
      <c r="C148" t="b">
        <f ca="1">OR(AND(ISNUMBER(SEARCH(B147,I2)),H2&gt;G2),(AND(ISNUMBER(SEARCH(B148,I2)),H2&lt;G2)))</f>
        <v>0</v>
      </c>
      <c r="F148" t="str">
        <f ca="1">IF(ISNA(VLOOKUP(B148,J3:J9,1,FALSE)), "FALSE", "TRUE")</f>
        <v>FALSE</v>
      </c>
      <c r="M148" t="s">
        <v>604</v>
      </c>
      <c r="N148" s="13" t="s">
        <v>214</v>
      </c>
    </row>
    <row r="149" spans="1:14">
      <c r="A149" t="s">
        <v>605</v>
      </c>
      <c r="B149" s="13" t="s">
        <v>215</v>
      </c>
      <c r="C149" t="b">
        <f ca="1">OR(AND(ISNUMBER(SEARCH(B148,I2)),H2&gt;G2),(AND(ISNUMBER(SEARCH(B149,I2)),H2&lt;G2)))</f>
        <v>0</v>
      </c>
      <c r="F149" t="str">
        <f ca="1">IF(ISNA(VLOOKUP(B149,J3:J9,1,FALSE)), "FALSE", "TRUE")</f>
        <v>FALSE</v>
      </c>
      <c r="M149" t="s">
        <v>605</v>
      </c>
      <c r="N149" s="13" t="s">
        <v>215</v>
      </c>
    </row>
    <row r="150" spans="1:14">
      <c r="A150" t="s">
        <v>606</v>
      </c>
      <c r="B150" s="13" t="s">
        <v>216</v>
      </c>
      <c r="C150" t="b">
        <f ca="1">OR(AND(ISNUMBER(SEARCH(B149,I2)),H2&gt;G2),(AND(ISNUMBER(SEARCH(B150,I2)),H2&lt;G2)))</f>
        <v>0</v>
      </c>
      <c r="F150" t="str">
        <f ca="1">IF(ISNA(VLOOKUP(B150,J3:J9,1,FALSE)), "FALSE", "TRUE")</f>
        <v>FALSE</v>
      </c>
      <c r="M150" t="s">
        <v>606</v>
      </c>
      <c r="N150" s="13" t="s">
        <v>216</v>
      </c>
    </row>
    <row r="151" spans="1:14">
      <c r="A151" t="s">
        <v>607</v>
      </c>
      <c r="B151" s="13" t="s">
        <v>217</v>
      </c>
      <c r="C151" t="b">
        <f ca="1">OR(AND(ISNUMBER(SEARCH(B150,I2)),H2&gt;G2),(AND(ISNUMBER(SEARCH(B151,I2)),H2&lt;G2)))</f>
        <v>0</v>
      </c>
      <c r="F151" t="str">
        <f ca="1">IF(ISNA(VLOOKUP(B151,J3:J9,1,FALSE)), "FALSE", "TRUE")</f>
        <v>FALSE</v>
      </c>
      <c r="M151" t="s">
        <v>607</v>
      </c>
      <c r="N151" s="13" t="s">
        <v>217</v>
      </c>
    </row>
    <row r="152" spans="1:14">
      <c r="A152" t="s">
        <v>608</v>
      </c>
      <c r="B152" s="13" t="s">
        <v>248</v>
      </c>
      <c r="C152" t="b">
        <f ca="1">OR(AND(ISNUMBER(SEARCH(B151,I2)),H2&gt;G2),(AND(ISNUMBER(SEARCH(B152,I2)),H2&lt;G2)))</f>
        <v>0</v>
      </c>
      <c r="F152" t="str">
        <f ca="1">IF(ISNA(VLOOKUP(B152,J3:J9,1,FALSE)), "FALSE", "TRUE")</f>
        <v>FALSE</v>
      </c>
      <c r="M152" t="s">
        <v>608</v>
      </c>
      <c r="N152" s="13" t="s">
        <v>248</v>
      </c>
    </row>
    <row r="153" spans="1:14">
      <c r="A153" t="s">
        <v>609</v>
      </c>
      <c r="B153" s="13" t="s">
        <v>249</v>
      </c>
      <c r="C153" t="b">
        <f ca="1">OR(AND(ISNUMBER(SEARCH(B152,I2)),H2&gt;G2),(AND(ISNUMBER(SEARCH(B153,I2)),H2&lt;G2)))</f>
        <v>0</v>
      </c>
      <c r="F153" t="str">
        <f ca="1">IF(ISNA(VLOOKUP(B153,J3:J9,1,FALSE)), "FALSE", "TRUE")</f>
        <v>FALSE</v>
      </c>
      <c r="M153" t="s">
        <v>609</v>
      </c>
      <c r="N153" s="13" t="s">
        <v>249</v>
      </c>
    </row>
    <row r="154" spans="1:14">
      <c r="A154" t="s">
        <v>610</v>
      </c>
      <c r="B154" s="13" t="s">
        <v>250</v>
      </c>
      <c r="C154" t="b">
        <f ca="1">OR(AND(ISNUMBER(SEARCH(B153,I2)),H2&gt;G2),(AND(ISNUMBER(SEARCH(B154,I2)),H2&lt;G2)))</f>
        <v>0</v>
      </c>
      <c r="F154" t="str">
        <f ca="1">IF(ISNA(VLOOKUP(B154,J3:J9,1,FALSE)), "FALSE", "TRUE")</f>
        <v>FALSE</v>
      </c>
      <c r="M154" t="s">
        <v>610</v>
      </c>
      <c r="N154" s="13" t="s">
        <v>250</v>
      </c>
    </row>
    <row r="155" spans="1:14">
      <c r="A155" t="s">
        <v>611</v>
      </c>
      <c r="B155" s="13" t="s">
        <v>251</v>
      </c>
      <c r="C155" t="b">
        <f ca="1">OR(AND(ISNUMBER(SEARCH(B154,I2)),H2&gt;G2),(AND(ISNUMBER(SEARCH(B155,I2)),H2&lt;G2)))</f>
        <v>0</v>
      </c>
      <c r="F155" t="str">
        <f ca="1">IF(ISNA(VLOOKUP(B155,J3:J9,1,FALSE)), "FALSE", "TRUE")</f>
        <v>FALSE</v>
      </c>
      <c r="M155" t="s">
        <v>611</v>
      </c>
      <c r="N155" s="13" t="s">
        <v>251</v>
      </c>
    </row>
    <row r="156" spans="1:14">
      <c r="A156" t="s">
        <v>612</v>
      </c>
      <c r="B156" s="13" t="s">
        <v>252</v>
      </c>
      <c r="C156" t="b">
        <f ca="1">OR(AND(ISNUMBER(SEARCH(B155,I2)),H2&gt;G2),(AND(ISNUMBER(SEARCH(B156,I2)),H2&lt;G2)))</f>
        <v>0</v>
      </c>
      <c r="F156" t="str">
        <f ca="1">IF(ISNA(VLOOKUP(B156,J3:J9,1,FALSE)), "FALSE", "TRUE")</f>
        <v>FALSE</v>
      </c>
      <c r="M156" t="s">
        <v>612</v>
      </c>
      <c r="N156" s="13" t="s">
        <v>252</v>
      </c>
    </row>
    <row r="157" spans="1:14">
      <c r="A157" t="s">
        <v>613</v>
      </c>
      <c r="B157" s="13" t="s">
        <v>253</v>
      </c>
      <c r="C157" t="b">
        <f ca="1">OR(AND(ISNUMBER(SEARCH(B156,I2)),H2&gt;G2),(AND(ISNUMBER(SEARCH(B157,I2)),H2&lt;G2)))</f>
        <v>0</v>
      </c>
      <c r="F157" t="str">
        <f ca="1">IF(ISNA(VLOOKUP(B157,J3:J9,1,FALSE)), "FALSE", "TRUE")</f>
        <v>FALSE</v>
      </c>
      <c r="M157" t="s">
        <v>613</v>
      </c>
      <c r="N157" s="13" t="s">
        <v>253</v>
      </c>
    </row>
    <row r="158" spans="1:14">
      <c r="A158" t="s">
        <v>614</v>
      </c>
      <c r="B158" s="13" t="s">
        <v>254</v>
      </c>
      <c r="C158" t="b">
        <f ca="1">OR(AND(ISNUMBER(SEARCH(B157,I2)),H2&gt;G2),(AND(ISNUMBER(SEARCH(B158,I2)),H2&lt;G2)))</f>
        <v>0</v>
      </c>
      <c r="F158" t="str">
        <f ca="1">IF(ISNA(VLOOKUP(B158,J3:J9,1,FALSE)), "FALSE", "TRUE")</f>
        <v>FALSE</v>
      </c>
      <c r="M158" t="s">
        <v>614</v>
      </c>
      <c r="N158" s="13" t="s">
        <v>254</v>
      </c>
    </row>
    <row r="159" spans="1:14">
      <c r="A159" t="s">
        <v>615</v>
      </c>
      <c r="B159" s="13" t="s">
        <v>255</v>
      </c>
      <c r="C159" t="b">
        <f ca="1">OR(AND(ISNUMBER(SEARCH(B158,I2)),H2&gt;G2),(AND(ISNUMBER(SEARCH(B159,I2)),H2&lt;G2)))</f>
        <v>0</v>
      </c>
      <c r="F159" t="str">
        <f ca="1">IF(ISNA(VLOOKUP(B159,J3:J9,1,FALSE)), "FALSE", "TRUE")</f>
        <v>FALSE</v>
      </c>
      <c r="M159" t="s">
        <v>615</v>
      </c>
      <c r="N159" s="13" t="s">
        <v>255</v>
      </c>
    </row>
    <row r="160" spans="1:14">
      <c r="A160" t="s">
        <v>616</v>
      </c>
      <c r="B160" s="13" t="s">
        <v>256</v>
      </c>
      <c r="C160" t="b">
        <f ca="1">OR(AND(ISNUMBER(SEARCH(B159,I2)),H2&gt;G2),(AND(ISNUMBER(SEARCH(B160,I2)),H2&lt;G2)))</f>
        <v>0</v>
      </c>
      <c r="F160" t="str">
        <f ca="1">IF(ISNA(VLOOKUP(B160,J3:J9,1,FALSE)), "FALSE", "TRUE")</f>
        <v>FALSE</v>
      </c>
      <c r="M160" t="s">
        <v>616</v>
      </c>
      <c r="N160" s="13" t="s">
        <v>256</v>
      </c>
    </row>
    <row r="161" spans="1:14">
      <c r="A161" t="s">
        <v>617</v>
      </c>
      <c r="B161" s="13" t="s">
        <v>257</v>
      </c>
      <c r="C161" t="b">
        <f ca="1">OR(AND(ISNUMBER(SEARCH(B160,I2)),H2&gt;G2),(AND(ISNUMBER(SEARCH(B161,I2)),H2&lt;G2)))</f>
        <v>0</v>
      </c>
      <c r="F161" t="str">
        <f ca="1">IF(ISNA(VLOOKUP(B161,J3:J9,1,FALSE)), "FALSE", "TRUE")</f>
        <v>FALSE</v>
      </c>
      <c r="M161" t="s">
        <v>617</v>
      </c>
      <c r="N161" s="13" t="s">
        <v>257</v>
      </c>
    </row>
    <row r="162" spans="1:14">
      <c r="A162" t="s">
        <v>618</v>
      </c>
      <c r="B162" s="13" t="s">
        <v>258</v>
      </c>
      <c r="C162" t="b">
        <f ca="1">OR(AND(ISNUMBER(SEARCH(B161,I2)),H2&gt;G2),(AND(ISNUMBER(SEARCH(B162,I2)),H2&lt;G2)))</f>
        <v>0</v>
      </c>
      <c r="F162" t="str">
        <f ca="1">IF(ISNA(VLOOKUP(B162,J3:J9,1,FALSE)), "FALSE", "TRUE")</f>
        <v>FALSE</v>
      </c>
      <c r="M162" t="s">
        <v>618</v>
      </c>
      <c r="N162" s="13" t="s">
        <v>258</v>
      </c>
    </row>
    <row r="163" spans="1:14">
      <c r="A163" t="s">
        <v>619</v>
      </c>
      <c r="B163" s="13" t="s">
        <v>259</v>
      </c>
      <c r="C163" t="b">
        <f ca="1">OR(AND(ISNUMBER(SEARCH(B162,I2)),H2&gt;G2),(AND(ISNUMBER(SEARCH(B163,I2)),H2&lt;G2)))</f>
        <v>0</v>
      </c>
      <c r="F163" t="str">
        <f ca="1">IF(ISNA(VLOOKUP(B163,J3:J9,1,FALSE)), "FALSE", "TRUE")</f>
        <v>FALSE</v>
      </c>
      <c r="M163" t="s">
        <v>619</v>
      </c>
      <c r="N163" s="13" t="s">
        <v>259</v>
      </c>
    </row>
    <row r="164" spans="1:14">
      <c r="A164" t="s">
        <v>620</v>
      </c>
      <c r="B164" s="13" t="s">
        <v>260</v>
      </c>
      <c r="C164" t="b">
        <f ca="1">OR(AND(ISNUMBER(SEARCH(B163,I2)),H2&gt;G2),(AND(ISNUMBER(SEARCH(B164,I2)),H2&lt;G2)))</f>
        <v>0</v>
      </c>
      <c r="D164" s="13" t="s">
        <v>857</v>
      </c>
      <c r="F164" t="str">
        <f ca="1">IF(ISNA(VLOOKUP(B164,J3:J9,1,FALSE)), "FALSE", "TRUE")</f>
        <v>FALSE</v>
      </c>
      <c r="K164" s="13" t="s">
        <v>836</v>
      </c>
      <c r="M164" t="s">
        <v>620</v>
      </c>
      <c r="N164" s="13" t="s">
        <v>260</v>
      </c>
    </row>
    <row r="165" spans="1:14">
      <c r="A165" t="s">
        <v>621</v>
      </c>
      <c r="B165" s="13" t="s">
        <v>261</v>
      </c>
      <c r="C165" t="b">
        <f ca="1">OR(AND(ISNUMBER(SEARCH(B164,I2)),H2&gt;G2),(AND(ISNUMBER(SEARCH(B165,I2)),H2&lt;G2)))</f>
        <v>0</v>
      </c>
      <c r="D165" s="13" t="s">
        <v>857</v>
      </c>
      <c r="F165" t="str">
        <f ca="1">IF(ISNA(VLOOKUP(B165,J3:J9,1,FALSE)), "FALSE", "TRUE")</f>
        <v>FALSE</v>
      </c>
      <c r="K165" s="13" t="s">
        <v>837</v>
      </c>
      <c r="M165" t="s">
        <v>621</v>
      </c>
      <c r="N165" s="13" t="s">
        <v>261</v>
      </c>
    </row>
    <row r="166" spans="1:14">
      <c r="A166" t="s">
        <v>622</v>
      </c>
      <c r="B166" s="13" t="s">
        <v>262</v>
      </c>
      <c r="C166" t="b">
        <f ca="1">OR(AND(ISNUMBER(SEARCH(B165,I2)),H2&gt;G2),(AND(ISNUMBER(SEARCH(B166,I2)),H2&lt;G2)))</f>
        <v>0</v>
      </c>
      <c r="D166" s="13" t="s">
        <v>857</v>
      </c>
      <c r="F166" t="str">
        <f ca="1">IF(ISNA(VLOOKUP(B166,J3:J9,1,FALSE)), "FALSE", "TRUE")</f>
        <v>FALSE</v>
      </c>
      <c r="K166" s="13" t="s">
        <v>838</v>
      </c>
      <c r="M166" t="s">
        <v>622</v>
      </c>
      <c r="N166" s="13" t="s">
        <v>262</v>
      </c>
    </row>
    <row r="167" spans="1:14">
      <c r="A167" t="s">
        <v>623</v>
      </c>
      <c r="B167" s="13" t="s">
        <v>263</v>
      </c>
      <c r="C167" t="b">
        <f ca="1">OR(AND(ISNUMBER(SEARCH(B166,I2)),H2&gt;G2),(AND(ISNUMBER(SEARCH(B167,I2)),H2&lt;G2)))</f>
        <v>0</v>
      </c>
      <c r="F167" t="str">
        <f ca="1">IF(ISNA(VLOOKUP(B167,J3:J9,1,FALSE)), "FALSE", "TRUE")</f>
        <v>FALSE</v>
      </c>
      <c r="M167" t="s">
        <v>623</v>
      </c>
      <c r="N167" s="13" t="s">
        <v>263</v>
      </c>
    </row>
    <row r="168" spans="1:14">
      <c r="A168" t="s">
        <v>624</v>
      </c>
      <c r="B168" s="13" t="s">
        <v>264</v>
      </c>
      <c r="C168" t="b">
        <f ca="1">OR(AND(ISNUMBER(SEARCH(B167,I2)),H2&gt;G2),(AND(ISNUMBER(SEARCH(B168,I2)),H2&lt;G2)))</f>
        <v>0</v>
      </c>
      <c r="F168" t="str">
        <f ca="1">IF(ISNA(VLOOKUP(B168,J3:J9,1,FALSE)), "FALSE", "TRUE")</f>
        <v>FALSE</v>
      </c>
      <c r="M168" t="s">
        <v>624</v>
      </c>
      <c r="N168" s="13" t="s">
        <v>264</v>
      </c>
    </row>
    <row r="169" spans="1:14">
      <c r="A169" t="s">
        <v>625</v>
      </c>
      <c r="B169" s="13" t="s">
        <v>265</v>
      </c>
      <c r="C169" t="b">
        <f ca="1">OR(AND(ISNUMBER(SEARCH(B168,I2)),H2&gt;G2),(AND(ISNUMBER(SEARCH(B169,I2)),H2&lt;G2)))</f>
        <v>0</v>
      </c>
      <c r="F169" t="str">
        <f ca="1">IF(ISNA(VLOOKUP(B169,J3:J9,1,FALSE)), "FALSE", "TRUE")</f>
        <v>FALSE</v>
      </c>
      <c r="M169" t="s">
        <v>625</v>
      </c>
      <c r="N169" s="13" t="s">
        <v>265</v>
      </c>
    </row>
    <row r="170" spans="1:14">
      <c r="A170" t="s">
        <v>626</v>
      </c>
      <c r="B170" s="13" t="s">
        <v>266</v>
      </c>
      <c r="C170" t="b">
        <f ca="1">OR(AND(ISNUMBER(SEARCH(B169,I2)),H2&gt;G2),(AND(ISNUMBER(SEARCH(B170,I2)),H2&lt;G2)))</f>
        <v>0</v>
      </c>
      <c r="F170" t="str">
        <f ca="1">IF(ISNA(VLOOKUP(B170,J3:J9,1,FALSE)), "FALSE", "TRUE")</f>
        <v>FALSE</v>
      </c>
      <c r="M170" t="s">
        <v>626</v>
      </c>
      <c r="N170" s="13" t="s">
        <v>266</v>
      </c>
    </row>
    <row r="171" spans="1:14">
      <c r="A171" t="s">
        <v>627</v>
      </c>
      <c r="B171" s="13" t="s">
        <v>267</v>
      </c>
      <c r="C171" t="b">
        <f ca="1">OR(AND(ISNUMBER(SEARCH(B170,I2)),H2&gt;G2),(AND(ISNUMBER(SEARCH(B171,I2)),H2&lt;G2)))</f>
        <v>0</v>
      </c>
      <c r="F171" t="str">
        <f ca="1">IF(ISNA(VLOOKUP(B171,J3:J9,1,FALSE)), "FALSE", "TRUE")</f>
        <v>FALSE</v>
      </c>
      <c r="M171" t="s">
        <v>627</v>
      </c>
      <c r="N171" s="13" t="s">
        <v>267</v>
      </c>
    </row>
    <row r="172" spans="1:14">
      <c r="A172" t="s">
        <v>628</v>
      </c>
      <c r="B172" s="13" t="s">
        <v>268</v>
      </c>
      <c r="C172" t="b">
        <f ca="1">OR(AND(ISNUMBER(SEARCH(B171,I2)),H2&gt;G2),(AND(ISNUMBER(SEARCH(B172,I2)),H2&lt;G2)))</f>
        <v>0</v>
      </c>
      <c r="F172" t="str">
        <f ca="1">IF(ISNA(VLOOKUP(B172,J3:J9,1,FALSE)), "FALSE", "TRUE")</f>
        <v>FALSE</v>
      </c>
      <c r="M172" t="s">
        <v>628</v>
      </c>
      <c r="N172" s="13" t="s">
        <v>268</v>
      </c>
    </row>
    <row r="173" spans="1:14">
      <c r="A173" t="s">
        <v>629</v>
      </c>
      <c r="B173" s="13" t="s">
        <v>269</v>
      </c>
      <c r="C173" t="b">
        <f ca="1">OR(AND(ISNUMBER(SEARCH(B172,I2)),H2&gt;G2),(AND(ISNUMBER(SEARCH(B173,I2)),H2&lt;G2)))</f>
        <v>0</v>
      </c>
      <c r="F173" t="str">
        <f ca="1">IF(ISNA(VLOOKUP(B173,J3:J9,1,FALSE)), "FALSE", "TRUE")</f>
        <v>FALSE</v>
      </c>
      <c r="M173" t="s">
        <v>629</v>
      </c>
      <c r="N173" s="13" t="s">
        <v>269</v>
      </c>
    </row>
    <row r="174" spans="1:14">
      <c r="A174" t="s">
        <v>630</v>
      </c>
      <c r="B174" s="13" t="s">
        <v>270</v>
      </c>
      <c r="C174" t="b">
        <f ca="1">OR(AND(ISNUMBER(SEARCH(B173,I2)),H2&gt;G2),(AND(ISNUMBER(SEARCH(B174,I2)),H2&lt;G2)))</f>
        <v>0</v>
      </c>
      <c r="F174" t="str">
        <f ca="1">IF(ISNA(VLOOKUP(B174,J3:J9,1,FALSE)), "FALSE", "TRUE")</f>
        <v>FALSE</v>
      </c>
      <c r="M174" t="s">
        <v>630</v>
      </c>
      <c r="N174" s="13" t="s">
        <v>270</v>
      </c>
    </row>
    <row r="175" spans="1:14">
      <c r="A175" t="s">
        <v>631</v>
      </c>
      <c r="B175" s="13" t="s">
        <v>271</v>
      </c>
      <c r="C175" t="b">
        <f ca="1">OR(AND(ISNUMBER(SEARCH(B174,I2)),H2&gt;G2),(AND(ISNUMBER(SEARCH(B175,I2)),H2&lt;G2)))</f>
        <v>0</v>
      </c>
      <c r="F175" t="str">
        <f ca="1">IF(ISNA(VLOOKUP(B175,J3:J9,1,FALSE)), "FALSE", "TRUE")</f>
        <v>FALSE</v>
      </c>
      <c r="M175" t="s">
        <v>631</v>
      </c>
      <c r="N175" s="13" t="s">
        <v>271</v>
      </c>
    </row>
    <row r="176" spans="1:14">
      <c r="A176" t="s">
        <v>632</v>
      </c>
      <c r="B176" s="13" t="s">
        <v>272</v>
      </c>
      <c r="C176" t="b">
        <f ca="1">OR(AND(ISNUMBER(SEARCH(B175,I2)),H2&gt;G2),(AND(ISNUMBER(SEARCH(B176,I2)),H2&lt;G2)))</f>
        <v>0</v>
      </c>
      <c r="F176" t="str">
        <f ca="1">IF(ISNA(VLOOKUP(B176,J3:J9,1,FALSE)), "FALSE", "TRUE")</f>
        <v>FALSE</v>
      </c>
      <c r="M176" t="s">
        <v>632</v>
      </c>
      <c r="N176" s="13" t="s">
        <v>272</v>
      </c>
    </row>
    <row r="177" spans="1:14">
      <c r="A177" t="s">
        <v>633</v>
      </c>
      <c r="B177" s="13" t="s">
        <v>273</v>
      </c>
      <c r="C177" t="b">
        <f ca="1">OR(AND(ISNUMBER(SEARCH(B176,I2)),H2&gt;G2),(AND(ISNUMBER(SEARCH(B177,I2)),H2&lt;G2)))</f>
        <v>0</v>
      </c>
      <c r="F177" t="str">
        <f ca="1">IF(ISNA(VLOOKUP(B177,J3:J9,1,FALSE)), "FALSE", "TRUE")</f>
        <v>FALSE</v>
      </c>
      <c r="M177" t="s">
        <v>633</v>
      </c>
      <c r="N177" s="13" t="s">
        <v>273</v>
      </c>
    </row>
    <row r="178" spans="1:14">
      <c r="A178" t="s">
        <v>634</v>
      </c>
      <c r="B178" s="13" t="s">
        <v>274</v>
      </c>
      <c r="C178" t="b">
        <f ca="1">OR(AND(ISNUMBER(SEARCH(B177,I2)),H2&gt;G2),(AND(ISNUMBER(SEARCH(B178,I2)),H2&lt;G2)))</f>
        <v>0</v>
      </c>
      <c r="F178" t="str">
        <f ca="1">IF(ISNA(VLOOKUP(B178,J3:J9,1,FALSE)), "FALSE", "TRUE")</f>
        <v>FALSE</v>
      </c>
      <c r="M178" t="s">
        <v>634</v>
      </c>
      <c r="N178" s="13" t="s">
        <v>274</v>
      </c>
    </row>
    <row r="179" spans="1:14">
      <c r="A179" t="s">
        <v>635</v>
      </c>
      <c r="B179" s="13" t="s">
        <v>275</v>
      </c>
      <c r="C179" t="b">
        <f ca="1">OR(AND(ISNUMBER(SEARCH(B178,I2)),H2&gt;G2),(AND(ISNUMBER(SEARCH(B179,I2)),H2&lt;G2)))</f>
        <v>0</v>
      </c>
      <c r="F179" t="str">
        <f ca="1">IF(ISNA(VLOOKUP(B179,J3:J9,1,FALSE)), "FALSE", "TRUE")</f>
        <v>FALSE</v>
      </c>
      <c r="M179" t="s">
        <v>635</v>
      </c>
      <c r="N179" s="13" t="s">
        <v>275</v>
      </c>
    </row>
    <row r="180" spans="1:14">
      <c r="A180" t="s">
        <v>636</v>
      </c>
      <c r="B180" s="13" t="s">
        <v>276</v>
      </c>
      <c r="C180" t="b">
        <f ca="1">OR(AND(ISNUMBER(SEARCH(B179,I2)),H2&gt;G2),(AND(ISNUMBER(SEARCH(B180,I2)),H2&lt;G2)))</f>
        <v>0</v>
      </c>
      <c r="F180" t="str">
        <f ca="1">IF(ISNA(VLOOKUP(B180,J3:J9,1,FALSE)), "FALSE", "TRUE")</f>
        <v>FALSE</v>
      </c>
      <c r="M180" t="s">
        <v>636</v>
      </c>
      <c r="N180" s="13" t="s">
        <v>276</v>
      </c>
    </row>
    <row r="181" spans="1:14">
      <c r="A181" t="s">
        <v>637</v>
      </c>
      <c r="B181" s="13" t="s">
        <v>277</v>
      </c>
      <c r="C181" t="b">
        <f ca="1">OR(AND(ISNUMBER(SEARCH(B180,I2)),H2&gt;G2),(AND(ISNUMBER(SEARCH(B181,I2)),H2&lt;G2)))</f>
        <v>0</v>
      </c>
      <c r="F181" t="str">
        <f ca="1">IF(ISNA(VLOOKUP(B181,J3:J9,1,FALSE)), "FALSE", "TRUE")</f>
        <v>FALSE</v>
      </c>
      <c r="M181" t="s">
        <v>637</v>
      </c>
      <c r="N181" s="13" t="s">
        <v>277</v>
      </c>
    </row>
    <row r="182" spans="1:14">
      <c r="A182" s="13" t="s">
        <v>943</v>
      </c>
      <c r="B182" t="s">
        <v>883</v>
      </c>
      <c r="C182" t="b">
        <f ca="1">OR(AND(ISNUMBER(SEARCH(B181,I2)),H2&gt;G2),(AND(ISNUMBER(SEARCH(B182,I2)),H2&lt;G2)))</f>
        <v>0</v>
      </c>
      <c r="F182" t="str">
        <f ca="1">IF(ISNA(VLOOKUP(B182,J3:J9,1,FALSE)), "FALSE", "TRUE")</f>
        <v>FALSE</v>
      </c>
      <c r="M182" s="13" t="s">
        <v>943</v>
      </c>
      <c r="N182" t="s">
        <v>883</v>
      </c>
    </row>
    <row r="183" spans="1:14">
      <c r="A183" s="13" t="s">
        <v>944</v>
      </c>
      <c r="B183" t="s">
        <v>885</v>
      </c>
      <c r="C183" t="b">
        <f ca="1">OR(AND(ISNUMBER(SEARCH(B182,I2)),H2&gt;G2),(AND(ISNUMBER(SEARCH(B183,I2)),H2&lt;G2)))</f>
        <v>0</v>
      </c>
      <c r="F183" t="str">
        <f ca="1">IF(ISNA(VLOOKUP(B183,J3:J9,1,FALSE)), "FALSE", "TRUE")</f>
        <v>FALSE</v>
      </c>
      <c r="M183" s="13" t="s">
        <v>944</v>
      </c>
      <c r="N183" t="s">
        <v>885</v>
      </c>
    </row>
    <row r="184" spans="1:14">
      <c r="A184" s="13" t="s">
        <v>945</v>
      </c>
      <c r="B184" t="s">
        <v>886</v>
      </c>
      <c r="C184" t="b">
        <f ca="1">OR(AND(ISNUMBER(SEARCH(B183,I2)),H2&gt;G2),(AND(ISNUMBER(SEARCH(B184,I2)),H2&lt;G2)))</f>
        <v>0</v>
      </c>
      <c r="F184" t="str">
        <f ca="1">IF(ISNA(VLOOKUP(B184,J3:J9,1,FALSE)), "FALSE", "TRUE")</f>
        <v>FALSE</v>
      </c>
      <c r="M184" s="13" t="s">
        <v>945</v>
      </c>
      <c r="N184" t="s">
        <v>886</v>
      </c>
    </row>
    <row r="185" spans="1:14">
      <c r="A185" s="13" t="s">
        <v>946</v>
      </c>
      <c r="B185" t="s">
        <v>887</v>
      </c>
      <c r="C185" t="b">
        <f ca="1">OR(AND(ISNUMBER(SEARCH(B184,I2)),H2&gt;G2),(AND(ISNUMBER(SEARCH(B185,I2)),H2&lt;G2)))</f>
        <v>0</v>
      </c>
      <c r="F185" t="str">
        <f ca="1">IF(ISNA(VLOOKUP(B185,J3:J9,1,FALSE)), "FALSE", "TRUE")</f>
        <v>FALSE</v>
      </c>
      <c r="M185" s="13" t="s">
        <v>946</v>
      </c>
      <c r="N185" t="s">
        <v>887</v>
      </c>
    </row>
    <row r="186" spans="1:14">
      <c r="A186" s="13" t="s">
        <v>947</v>
      </c>
      <c r="B186" t="s">
        <v>888</v>
      </c>
      <c r="C186" t="b">
        <f ca="1">OR(AND(ISNUMBER(SEARCH(B185,I2)),H2&gt;G2),(AND(ISNUMBER(SEARCH(B186,I2)),H2&lt;G2)))</f>
        <v>0</v>
      </c>
      <c r="F186" t="str">
        <f ca="1">IF(ISNA(VLOOKUP(B186,J3:J9,1,FALSE)), "FALSE", "TRUE")</f>
        <v>FALSE</v>
      </c>
      <c r="M186" s="13" t="s">
        <v>947</v>
      </c>
      <c r="N186" t="s">
        <v>888</v>
      </c>
    </row>
    <row r="187" spans="1:14">
      <c r="A187" s="13" t="s">
        <v>948</v>
      </c>
      <c r="B187" t="s">
        <v>889</v>
      </c>
      <c r="C187" t="b">
        <f ca="1">OR(AND(ISNUMBER(SEARCH(B186,I2)),H2&gt;G2),(AND(ISNUMBER(SEARCH(B187,I2)),H2&lt;G2)))</f>
        <v>0</v>
      </c>
      <c r="F187" t="str">
        <f ca="1">IF(ISNA(VLOOKUP(B187,J3:J9,1,FALSE)), "FALSE", "TRUE")</f>
        <v>FALSE</v>
      </c>
      <c r="M187" s="13" t="s">
        <v>948</v>
      </c>
      <c r="N187" t="s">
        <v>889</v>
      </c>
    </row>
    <row r="188" spans="1:14">
      <c r="A188" s="13" t="s">
        <v>949</v>
      </c>
      <c r="B188" t="s">
        <v>890</v>
      </c>
      <c r="C188" t="b">
        <f ca="1">OR(AND(ISNUMBER(SEARCH(B187,I2)),H2&gt;G2),(AND(ISNUMBER(SEARCH(B188,I2)),H2&lt;G2)))</f>
        <v>0</v>
      </c>
      <c r="F188" t="str">
        <f ca="1">IF(ISNA(VLOOKUP(B188,J3:J9,1,FALSE)), "FALSE", "TRUE")</f>
        <v>FALSE</v>
      </c>
      <c r="M188" s="13" t="s">
        <v>949</v>
      </c>
      <c r="N188" t="s">
        <v>890</v>
      </c>
    </row>
    <row r="189" spans="1:14">
      <c r="A189" s="13" t="s">
        <v>950</v>
      </c>
      <c r="B189" t="s">
        <v>891</v>
      </c>
      <c r="C189" t="b">
        <f ca="1">OR(AND(ISNUMBER(SEARCH(B188,I2)),H2&gt;G2),(AND(ISNUMBER(SEARCH(B189,I2)),H2&lt;G2)))</f>
        <v>0</v>
      </c>
      <c r="F189" t="str">
        <f ca="1">IF(ISNA(VLOOKUP(B189,J3:J9,1,FALSE)), "FALSE", "TRUE")</f>
        <v>FALSE</v>
      </c>
      <c r="M189" s="13" t="s">
        <v>950</v>
      </c>
      <c r="N189" t="s">
        <v>891</v>
      </c>
    </row>
    <row r="190" spans="1:14">
      <c r="A190" s="13" t="s">
        <v>951</v>
      </c>
      <c r="B190" t="s">
        <v>892</v>
      </c>
      <c r="C190" t="b">
        <f ca="1">OR(AND(ISNUMBER(SEARCH(B189,I2)),H2&gt;G2),(AND(ISNUMBER(SEARCH(B190,I2)),H2&lt;G2)))</f>
        <v>0</v>
      </c>
      <c r="F190" t="str">
        <f ca="1">IF(ISNA(VLOOKUP(B190,J3:J9,1,FALSE)), "FALSE", "TRUE")</f>
        <v>FALSE</v>
      </c>
      <c r="M190" s="13" t="s">
        <v>951</v>
      </c>
      <c r="N190" t="s">
        <v>892</v>
      </c>
    </row>
    <row r="191" spans="1:14">
      <c r="A191" s="13" t="s">
        <v>952</v>
      </c>
      <c r="B191" t="s">
        <v>893</v>
      </c>
      <c r="C191" t="b">
        <f ca="1">OR(AND(ISNUMBER(SEARCH(B190,I2)),H2&gt;G2),(AND(ISNUMBER(SEARCH(B191,I2)),H2&lt;G2)))</f>
        <v>0</v>
      </c>
      <c r="F191" t="str">
        <f ca="1">IF(ISNA(VLOOKUP(B191,J3:J9,1,FALSE)), "FALSE", "TRUE")</f>
        <v>FALSE</v>
      </c>
      <c r="M191" s="13" t="s">
        <v>952</v>
      </c>
      <c r="N191" t="s">
        <v>893</v>
      </c>
    </row>
    <row r="192" spans="1:14">
      <c r="A192" s="13" t="s">
        <v>953</v>
      </c>
      <c r="B192" t="s">
        <v>894</v>
      </c>
      <c r="C192" t="b">
        <f ca="1">OR(AND(ISNUMBER(SEARCH(B191,I2)),H2&gt;G2),(AND(ISNUMBER(SEARCH(B192,I2)),H2&lt;G2)))</f>
        <v>0</v>
      </c>
      <c r="F192" t="str">
        <f ca="1">IF(ISNA(VLOOKUP(B192,J3:J9,1,FALSE)), "FALSE", "TRUE")</f>
        <v>FALSE</v>
      </c>
      <c r="M192" s="13" t="s">
        <v>953</v>
      </c>
      <c r="N192" t="s">
        <v>894</v>
      </c>
    </row>
    <row r="193" spans="1:14">
      <c r="A193" s="13" t="s">
        <v>954</v>
      </c>
      <c r="B193" t="s">
        <v>895</v>
      </c>
      <c r="C193" t="b">
        <f ca="1">OR(AND(ISNUMBER(SEARCH(B192,I2)),H2&gt;G2),(AND(ISNUMBER(SEARCH(B193,I2)),H2&lt;G2)))</f>
        <v>0</v>
      </c>
      <c r="F193" t="str">
        <f ca="1">IF(ISNA(VLOOKUP(B193,J3:J9,1,FALSE)), "FALSE", "TRUE")</f>
        <v>FALSE</v>
      </c>
      <c r="M193" s="13" t="s">
        <v>954</v>
      </c>
      <c r="N193" t="s">
        <v>895</v>
      </c>
    </row>
    <row r="194" spans="1:14">
      <c r="A194" s="13" t="s">
        <v>955</v>
      </c>
      <c r="B194" t="s">
        <v>896</v>
      </c>
      <c r="C194" t="b">
        <f ca="1">OR(AND(ISNUMBER(SEARCH(B193,I2)),H2&gt;G2),(AND(ISNUMBER(SEARCH(B194,I2)),H2&lt;G2)))</f>
        <v>0</v>
      </c>
      <c r="F194" t="str">
        <f ca="1">IF(ISNA(VLOOKUP(B194,J3:J9,1,FALSE)), "FALSE", "TRUE")</f>
        <v>FALSE</v>
      </c>
      <c r="M194" s="13" t="s">
        <v>955</v>
      </c>
      <c r="N194" t="s">
        <v>896</v>
      </c>
    </row>
    <row r="195" spans="1:14">
      <c r="A195" s="13" t="s">
        <v>956</v>
      </c>
      <c r="B195" t="s">
        <v>897</v>
      </c>
      <c r="C195" t="b">
        <f ca="1">OR(AND(ISNUMBER(SEARCH(B194,I2)),H2&gt;G2),(AND(ISNUMBER(SEARCH(B195,I2)),H2&lt;G2)))</f>
        <v>0</v>
      </c>
      <c r="F195" t="str">
        <f ca="1">IF(ISNA(VLOOKUP(B195,J3:J9,1,FALSE)), "FALSE", "TRUE")</f>
        <v>FALSE</v>
      </c>
      <c r="M195" s="13" t="s">
        <v>956</v>
      </c>
      <c r="N195" t="s">
        <v>897</v>
      </c>
    </row>
    <row r="196" spans="1:14">
      <c r="A196" s="13" t="s">
        <v>957</v>
      </c>
      <c r="B196" t="s">
        <v>898</v>
      </c>
      <c r="C196" t="b">
        <f ca="1">OR(AND(ISNUMBER(SEARCH(B195,I2)),H2&gt;G2),(AND(ISNUMBER(SEARCH(B196,I2)),H2&lt;G2)))</f>
        <v>0</v>
      </c>
      <c r="F196" t="str">
        <f ca="1">IF(ISNA(VLOOKUP(B196,J3:J9,1,FALSE)), "FALSE", "TRUE")</f>
        <v>FALSE</v>
      </c>
      <c r="M196" s="13" t="s">
        <v>957</v>
      </c>
      <c r="N196" t="s">
        <v>898</v>
      </c>
    </row>
    <row r="197" spans="1:14">
      <c r="A197" s="13" t="s">
        <v>958</v>
      </c>
      <c r="B197" t="s">
        <v>899</v>
      </c>
      <c r="C197" t="b">
        <f ca="1">OR(AND(ISNUMBER(SEARCH(B196,I2)),H2&gt;G2),(AND(ISNUMBER(SEARCH(B197,I2)),H2&lt;G2)))</f>
        <v>0</v>
      </c>
      <c r="F197" t="str">
        <f ca="1">IF(ISNA(VLOOKUP(B197,J3:J9,1,FALSE)), "FALSE", "TRUE")</f>
        <v>FALSE</v>
      </c>
      <c r="M197" s="13" t="s">
        <v>958</v>
      </c>
      <c r="N197" t="s">
        <v>899</v>
      </c>
    </row>
    <row r="198" spans="1:14">
      <c r="A198" s="13" t="s">
        <v>959</v>
      </c>
      <c r="B198" t="s">
        <v>900</v>
      </c>
      <c r="C198" t="b">
        <f ca="1">OR(AND(ISNUMBER(SEARCH(B197,I2)),H2&gt;G2),(AND(ISNUMBER(SEARCH(B198,I2)),H2&lt;G2)))</f>
        <v>0</v>
      </c>
      <c r="F198" t="str">
        <f ca="1">IF(ISNA(VLOOKUP(B198,J3:J9,1,FALSE)), "FALSE", "TRUE")</f>
        <v>FALSE</v>
      </c>
      <c r="M198" s="13" t="s">
        <v>959</v>
      </c>
      <c r="N198" t="s">
        <v>900</v>
      </c>
    </row>
    <row r="199" spans="1:14">
      <c r="A199" s="13" t="s">
        <v>960</v>
      </c>
      <c r="B199" t="s">
        <v>901</v>
      </c>
      <c r="C199" t="b">
        <f ca="1">OR(AND(ISNUMBER(SEARCH(B198,I2)),H2&gt;G2),(AND(ISNUMBER(SEARCH(B199,I2)),H2&lt;G2)))</f>
        <v>0</v>
      </c>
      <c r="F199" t="str">
        <f ca="1">IF(ISNA(VLOOKUP(B199,J3:J9,1,FALSE)), "FALSE", "TRUE")</f>
        <v>FALSE</v>
      </c>
      <c r="M199" s="13" t="s">
        <v>960</v>
      </c>
      <c r="N199" t="s">
        <v>901</v>
      </c>
    </row>
    <row r="200" spans="1:14">
      <c r="A200" s="13" t="s">
        <v>961</v>
      </c>
      <c r="B200" t="s">
        <v>902</v>
      </c>
      <c r="C200" t="b">
        <f ca="1">OR(AND(ISNUMBER(SEARCH(B199,I2)),H2&gt;G2),(AND(ISNUMBER(SEARCH(B200,I2)),H2&lt;G2)))</f>
        <v>0</v>
      </c>
      <c r="F200" t="str">
        <f ca="1">IF(ISNA(VLOOKUP(B200,J3:J9,1,FALSE)), "FALSE", "TRUE")</f>
        <v>FALSE</v>
      </c>
      <c r="M200" s="13" t="s">
        <v>961</v>
      </c>
      <c r="N200" t="s">
        <v>902</v>
      </c>
    </row>
    <row r="201" spans="1:14">
      <c r="A201" s="13" t="s">
        <v>962</v>
      </c>
      <c r="B201" t="s">
        <v>903</v>
      </c>
      <c r="C201" t="b">
        <f ca="1">OR(AND(ISNUMBER(SEARCH(B200,I2)),H2&gt;G2),(AND(ISNUMBER(SEARCH(B201,I2)),H2&lt;G2)))</f>
        <v>0</v>
      </c>
      <c r="F201" t="str">
        <f ca="1">IF(ISNA(VLOOKUP(B201,J3:J9,1,FALSE)), "FALSE", "TRUE")</f>
        <v>FALSE</v>
      </c>
      <c r="M201" s="13" t="s">
        <v>962</v>
      </c>
      <c r="N201" t="s">
        <v>903</v>
      </c>
    </row>
    <row r="202" spans="1:14">
      <c r="A202" s="13" t="s">
        <v>963</v>
      </c>
      <c r="B202" t="s">
        <v>904</v>
      </c>
      <c r="C202" t="b">
        <f ca="1">OR(AND(ISNUMBER(SEARCH(B201,I2)),H2&gt;G2),(AND(ISNUMBER(SEARCH(B202,I2)),H2&lt;G2)))</f>
        <v>0</v>
      </c>
      <c r="F202" t="str">
        <f ca="1">IF(ISNA(VLOOKUP(B202,J3:J9,1,FALSE)), "FALSE", "TRUE")</f>
        <v>FALSE</v>
      </c>
      <c r="M202" s="13" t="s">
        <v>963</v>
      </c>
      <c r="N202" t="s">
        <v>904</v>
      </c>
    </row>
    <row r="203" spans="1:14">
      <c r="A203" s="13" t="s">
        <v>964</v>
      </c>
      <c r="B203" t="s">
        <v>905</v>
      </c>
      <c r="C203" t="b">
        <f ca="1">OR(AND(ISNUMBER(SEARCH(B202,I2)),H2&gt;G2),(AND(ISNUMBER(SEARCH(B203,I2)),H2&lt;G2)))</f>
        <v>0</v>
      </c>
      <c r="F203" t="str">
        <f ca="1">IF(ISNA(VLOOKUP(B203,J3:J9,1,FALSE)), "FALSE", "TRUE")</f>
        <v>FALSE</v>
      </c>
      <c r="M203" s="13" t="s">
        <v>964</v>
      </c>
      <c r="N203" t="s">
        <v>905</v>
      </c>
    </row>
    <row r="204" spans="1:14">
      <c r="A204" s="13" t="s">
        <v>965</v>
      </c>
      <c r="B204" t="s">
        <v>906</v>
      </c>
      <c r="C204" t="b">
        <f ca="1">OR(AND(ISNUMBER(SEARCH(B203,I2)),H2&gt;G2),(AND(ISNUMBER(SEARCH(B204,I2)),H2&lt;G2)))</f>
        <v>0</v>
      </c>
      <c r="F204" t="str">
        <f ca="1">IF(ISNA(VLOOKUP(B204,J3:J9,1,FALSE)), "FALSE", "TRUE")</f>
        <v>FALSE</v>
      </c>
      <c r="M204" s="13" t="s">
        <v>965</v>
      </c>
      <c r="N204" t="s">
        <v>906</v>
      </c>
    </row>
    <row r="205" spans="1:14">
      <c r="A205" s="13" t="s">
        <v>966</v>
      </c>
      <c r="B205" t="s">
        <v>907</v>
      </c>
      <c r="C205" t="b">
        <f ca="1">OR(AND(ISNUMBER(SEARCH(B204,I2)),H2&gt;G2),(AND(ISNUMBER(SEARCH(B205,I2)),H2&lt;G2)))</f>
        <v>0</v>
      </c>
      <c r="F205" t="str">
        <f ca="1">IF(ISNA(VLOOKUP(B205,J3:J9,1,FALSE)), "FALSE", "TRUE")</f>
        <v>FALSE</v>
      </c>
      <c r="M205" s="13" t="s">
        <v>966</v>
      </c>
      <c r="N205" t="s">
        <v>907</v>
      </c>
    </row>
    <row r="206" spans="1:14">
      <c r="A206" s="13" t="s">
        <v>967</v>
      </c>
      <c r="B206" t="s">
        <v>908</v>
      </c>
      <c r="C206" t="b">
        <f ca="1">OR(AND(ISNUMBER(SEARCH(B205,I2)),H2&gt;G2),(AND(ISNUMBER(SEARCH(B206,I2)),H2&lt;G2)))</f>
        <v>0</v>
      </c>
      <c r="F206" t="str">
        <f ca="1">IF(ISNA(VLOOKUP(B206,J3:J9,1,FALSE)), "FALSE", "TRUE")</f>
        <v>FALSE</v>
      </c>
      <c r="M206" s="13" t="s">
        <v>967</v>
      </c>
      <c r="N206" t="s">
        <v>908</v>
      </c>
    </row>
    <row r="207" spans="1:14">
      <c r="A207" s="13" t="s">
        <v>968</v>
      </c>
      <c r="B207" t="s">
        <v>909</v>
      </c>
      <c r="C207" t="b">
        <f ca="1">OR(AND(ISNUMBER(SEARCH(B206,I2)),H2&gt;G2),(AND(ISNUMBER(SEARCH(B207,I2)),H2&lt;G2)))</f>
        <v>0</v>
      </c>
      <c r="F207" t="str">
        <f ca="1">IF(ISNA(VLOOKUP(B207,J3:J9,1,FALSE)), "FALSE", "TRUE")</f>
        <v>FALSE</v>
      </c>
      <c r="M207" s="13" t="s">
        <v>968</v>
      </c>
      <c r="N207" t="s">
        <v>909</v>
      </c>
    </row>
    <row r="208" spans="1:14">
      <c r="A208" s="13" t="s">
        <v>969</v>
      </c>
      <c r="B208" t="s">
        <v>910</v>
      </c>
      <c r="C208" t="b">
        <f ca="1">OR(AND(ISNUMBER(SEARCH(B207,I2)),H2&gt;G2),(AND(ISNUMBER(SEARCH(B208,I2)),H2&lt;G2)))</f>
        <v>0</v>
      </c>
      <c r="F208" t="str">
        <f ca="1">IF(ISNA(VLOOKUP(B208,J3:J9,1,FALSE)), "FALSE", "TRUE")</f>
        <v>FALSE</v>
      </c>
      <c r="M208" s="13" t="s">
        <v>969</v>
      </c>
      <c r="N208" t="s">
        <v>910</v>
      </c>
    </row>
    <row r="209" spans="1:14">
      <c r="A209" s="13" t="s">
        <v>970</v>
      </c>
      <c r="B209" t="s">
        <v>911</v>
      </c>
      <c r="C209" t="b">
        <f ca="1">OR(AND(ISNUMBER(SEARCH(B208,I2)),H2&gt;G2),(AND(ISNUMBER(SEARCH(B209,I2)),H2&lt;G2)))</f>
        <v>0</v>
      </c>
      <c r="F209" t="str">
        <f ca="1">IF(ISNA(VLOOKUP(B209,J3:J9,1,FALSE)), "FALSE", "TRUE")</f>
        <v>FALSE</v>
      </c>
      <c r="M209" s="13" t="s">
        <v>970</v>
      </c>
      <c r="N209" t="s">
        <v>911</v>
      </c>
    </row>
    <row r="210" spans="1:14">
      <c r="A210" s="13" t="s">
        <v>971</v>
      </c>
      <c r="B210" t="s">
        <v>912</v>
      </c>
      <c r="C210" t="b">
        <f ca="1">OR(AND(ISNUMBER(SEARCH(B209,I2)),H2&gt;G2),(AND(ISNUMBER(SEARCH(B210,I2)),H2&lt;G2)))</f>
        <v>0</v>
      </c>
      <c r="F210" t="str">
        <f ca="1">IF(ISNA(VLOOKUP(B210,J3:J9,1,FALSE)), "FALSE", "TRUE")</f>
        <v>FALSE</v>
      </c>
      <c r="M210" s="13" t="s">
        <v>971</v>
      </c>
      <c r="N210" t="s">
        <v>912</v>
      </c>
    </row>
    <row r="211" spans="1:14">
      <c r="A211" s="13" t="s">
        <v>972</v>
      </c>
      <c r="B211" t="s">
        <v>913</v>
      </c>
      <c r="C211" t="b">
        <f ca="1">OR(AND(ISNUMBER(SEARCH(B210,I2)),H2&gt;G2),(AND(ISNUMBER(SEARCH(B211,I2)),H2&lt;G2)))</f>
        <v>0</v>
      </c>
      <c r="F211" t="str">
        <f ca="1">IF(ISNA(VLOOKUP(B211,J3:J9,1,FALSE)), "FALSE", "TRUE")</f>
        <v>FALSE</v>
      </c>
      <c r="M211" s="13" t="s">
        <v>972</v>
      </c>
      <c r="N211" t="s">
        <v>913</v>
      </c>
    </row>
    <row r="212" spans="1:14">
      <c r="A212" s="13" t="s">
        <v>973</v>
      </c>
      <c r="B212" s="13" t="s">
        <v>884</v>
      </c>
      <c r="C212" t="b">
        <f ca="1">OR(AND(ISNUMBER(SEARCH(B211,I2)),H2&gt;G2),(AND(ISNUMBER(SEARCH(B212,I2)),H2&lt;G2)))</f>
        <v>0</v>
      </c>
      <c r="F212" t="str">
        <f ca="1">IF(ISNA(VLOOKUP(B212,J3:J9,1,FALSE)), "FALSE", "TRUE")</f>
        <v>FALSE</v>
      </c>
      <c r="M212" s="13" t="s">
        <v>973</v>
      </c>
      <c r="N212" s="13" t="s">
        <v>884</v>
      </c>
    </row>
    <row r="213" spans="1:14">
      <c r="A213" s="13" t="s">
        <v>974</v>
      </c>
      <c r="B213" s="13" t="s">
        <v>914</v>
      </c>
      <c r="C213" t="b">
        <f ca="1">OR(AND(ISNUMBER(SEARCH(B212,I2)),H2&gt;G2),(AND(ISNUMBER(SEARCH(B213,I2)),H2&lt;G2)))</f>
        <v>0</v>
      </c>
      <c r="F213" t="str">
        <f ca="1">IF(ISNA(VLOOKUP(B213,J3:J9,1,FALSE)), "FALSE", "TRUE")</f>
        <v>FALSE</v>
      </c>
      <c r="M213" s="13" t="s">
        <v>974</v>
      </c>
      <c r="N213" s="13" t="s">
        <v>914</v>
      </c>
    </row>
    <row r="214" spans="1:14">
      <c r="A214" s="13" t="s">
        <v>975</v>
      </c>
      <c r="B214" s="13" t="s">
        <v>915</v>
      </c>
      <c r="C214" t="b">
        <f ca="1">OR(AND(ISNUMBER(SEARCH(B213,I2)),H2&gt;G2),(AND(ISNUMBER(SEARCH(B214,I2)),H2&lt;G2)))</f>
        <v>0</v>
      </c>
      <c r="F214" t="str">
        <f ca="1">IF(ISNA(VLOOKUP(B214,J3:J9,1,FALSE)), "FALSE", "TRUE")</f>
        <v>FALSE</v>
      </c>
      <c r="M214" s="13" t="s">
        <v>975</v>
      </c>
      <c r="N214" s="13" t="s">
        <v>915</v>
      </c>
    </row>
    <row r="215" spans="1:14">
      <c r="A215" s="13" t="s">
        <v>976</v>
      </c>
      <c r="B215" s="13" t="s">
        <v>916</v>
      </c>
      <c r="C215" t="b">
        <f ca="1">OR(AND(ISNUMBER(SEARCH(B214,I2)),H2&gt;G2),(AND(ISNUMBER(SEARCH(B215,I2)),H2&lt;G2)))</f>
        <v>0</v>
      </c>
      <c r="F215" t="str">
        <f ca="1">IF(ISNA(VLOOKUP(B215,J3:J9,1,FALSE)), "FALSE", "TRUE")</f>
        <v>FALSE</v>
      </c>
      <c r="M215" s="13" t="s">
        <v>976</v>
      </c>
      <c r="N215" s="13" t="s">
        <v>916</v>
      </c>
    </row>
    <row r="216" spans="1:14">
      <c r="A216" s="13" t="s">
        <v>977</v>
      </c>
      <c r="B216" s="13" t="s">
        <v>917</v>
      </c>
      <c r="C216" t="b">
        <f ca="1">OR(AND(ISNUMBER(SEARCH(B215,I2)),H2&gt;G2),(AND(ISNUMBER(SEARCH(B216,I2)),H2&lt;G2)))</f>
        <v>0</v>
      </c>
      <c r="F216" t="str">
        <f ca="1">IF(ISNA(VLOOKUP(B216,J3:J9,1,FALSE)), "FALSE", "TRUE")</f>
        <v>FALSE</v>
      </c>
      <c r="M216" s="13" t="s">
        <v>977</v>
      </c>
      <c r="N216" s="13" t="s">
        <v>917</v>
      </c>
    </row>
    <row r="217" spans="1:14">
      <c r="A217" s="13" t="s">
        <v>978</v>
      </c>
      <c r="B217" s="13" t="s">
        <v>918</v>
      </c>
      <c r="C217" t="b">
        <f ca="1">OR(AND(ISNUMBER(SEARCH(B216,I2)),H2&gt;G2),(AND(ISNUMBER(SEARCH(B217,I2)),H2&lt;G2)))</f>
        <v>0</v>
      </c>
      <c r="F217" t="str">
        <f ca="1">IF(ISNA(VLOOKUP(B217,J3:J9,1,FALSE)), "FALSE", "TRUE")</f>
        <v>FALSE</v>
      </c>
      <c r="M217" s="13" t="s">
        <v>978</v>
      </c>
      <c r="N217" s="13" t="s">
        <v>918</v>
      </c>
    </row>
    <row r="218" spans="1:14">
      <c r="A218" s="13" t="s">
        <v>979</v>
      </c>
      <c r="B218" s="13" t="s">
        <v>919</v>
      </c>
      <c r="C218" t="b">
        <f ca="1">OR(AND(ISNUMBER(SEARCH(B217,I2)),H2&gt;G2),(AND(ISNUMBER(SEARCH(B218,I2)),H2&lt;G2)))</f>
        <v>0</v>
      </c>
      <c r="F218" t="str">
        <f ca="1">IF(ISNA(VLOOKUP(B218,J3:J9,1,FALSE)), "FALSE", "TRUE")</f>
        <v>FALSE</v>
      </c>
      <c r="M218" s="13" t="s">
        <v>979</v>
      </c>
      <c r="N218" s="13" t="s">
        <v>919</v>
      </c>
    </row>
    <row r="219" spans="1:14">
      <c r="A219" s="13" t="s">
        <v>980</v>
      </c>
      <c r="B219" s="13" t="s">
        <v>920</v>
      </c>
      <c r="C219" t="b">
        <f ca="1">OR(AND(ISNUMBER(SEARCH(B218,I2)),H2&gt;G2),(AND(ISNUMBER(SEARCH(B219,I2)),H2&lt;G2)))</f>
        <v>0</v>
      </c>
      <c r="F219" t="str">
        <f ca="1">IF(ISNA(VLOOKUP(B219,J3:J9,1,FALSE)), "FALSE", "TRUE")</f>
        <v>FALSE</v>
      </c>
      <c r="M219" s="13" t="s">
        <v>980</v>
      </c>
      <c r="N219" s="13" t="s">
        <v>920</v>
      </c>
    </row>
    <row r="220" spans="1:14">
      <c r="A220" s="13" t="s">
        <v>981</v>
      </c>
      <c r="B220" s="13" t="s">
        <v>921</v>
      </c>
      <c r="C220" t="b">
        <f ca="1">OR(AND(ISNUMBER(SEARCH(B219,I2)),H2&gt;G2),(AND(ISNUMBER(SEARCH(B220,I2)),H2&lt;G2)))</f>
        <v>0</v>
      </c>
      <c r="F220" t="str">
        <f ca="1">IF(ISNA(VLOOKUP(B220,J3:J9,1,FALSE)), "FALSE", "TRUE")</f>
        <v>FALSE</v>
      </c>
      <c r="M220" s="13" t="s">
        <v>981</v>
      </c>
      <c r="N220" s="13" t="s">
        <v>921</v>
      </c>
    </row>
    <row r="221" spans="1:14">
      <c r="A221" s="13" t="s">
        <v>982</v>
      </c>
      <c r="B221" s="13" t="s">
        <v>922</v>
      </c>
      <c r="C221" t="b">
        <f ca="1">OR(AND(ISNUMBER(SEARCH(B220,I2)),H2&gt;G2),(AND(ISNUMBER(SEARCH(B221,I2)),H2&lt;G2)))</f>
        <v>0</v>
      </c>
      <c r="F221" t="str">
        <f ca="1">IF(ISNA(VLOOKUP(B221,J3:J9,1,FALSE)), "FALSE", "TRUE")</f>
        <v>FALSE</v>
      </c>
      <c r="M221" s="13" t="s">
        <v>982</v>
      </c>
      <c r="N221" s="13" t="s">
        <v>922</v>
      </c>
    </row>
    <row r="222" spans="1:14">
      <c r="A222" s="13" t="s">
        <v>983</v>
      </c>
      <c r="B222" s="13" t="s">
        <v>923</v>
      </c>
      <c r="C222" t="b">
        <f ca="1">OR(AND(ISNUMBER(SEARCH(B221,I2)),H2&gt;G2),(AND(ISNUMBER(SEARCH(B222,I2)),H2&lt;G2)))</f>
        <v>0</v>
      </c>
      <c r="F222" t="str">
        <f ca="1">IF(ISNA(VLOOKUP(B222,J3:J9,1,FALSE)), "FALSE", "TRUE")</f>
        <v>FALSE</v>
      </c>
      <c r="M222" s="13" t="s">
        <v>983</v>
      </c>
      <c r="N222" s="13" t="s">
        <v>923</v>
      </c>
    </row>
    <row r="223" spans="1:14">
      <c r="A223" s="13" t="s">
        <v>984</v>
      </c>
      <c r="B223" s="13" t="s">
        <v>924</v>
      </c>
      <c r="C223" t="b">
        <f ca="1">OR(AND(ISNUMBER(SEARCH(B222,I2)),H2&gt;G2),(AND(ISNUMBER(SEARCH(B223,I2)),H2&lt;G2)))</f>
        <v>0</v>
      </c>
      <c r="F223" t="str">
        <f ca="1">IF(ISNA(VLOOKUP(B223,J3:J9,1,FALSE)), "FALSE", "TRUE")</f>
        <v>FALSE</v>
      </c>
      <c r="M223" s="13" t="s">
        <v>984</v>
      </c>
      <c r="N223" s="13" t="s">
        <v>924</v>
      </c>
    </row>
    <row r="224" spans="1:14">
      <c r="A224" s="13" t="s">
        <v>985</v>
      </c>
      <c r="B224" s="13" t="s">
        <v>925</v>
      </c>
      <c r="C224" t="b">
        <f ca="1">OR(AND(ISNUMBER(SEARCH(B223,I2)),H2&gt;G2),(AND(ISNUMBER(SEARCH(B224,I2)),H2&lt;G2)))</f>
        <v>0</v>
      </c>
      <c r="F224" t="str">
        <f ca="1">IF(ISNA(VLOOKUP(B224,J3:J9,1,FALSE)), "FALSE", "TRUE")</f>
        <v>FALSE</v>
      </c>
      <c r="M224" s="13" t="s">
        <v>985</v>
      </c>
      <c r="N224" s="13" t="s">
        <v>925</v>
      </c>
    </row>
    <row r="225" spans="1:14">
      <c r="A225" s="13" t="s">
        <v>986</v>
      </c>
      <c r="B225" s="13" t="s">
        <v>926</v>
      </c>
      <c r="C225" t="b">
        <f ca="1">OR(AND(ISNUMBER(SEARCH(B224,I2)),H2&gt;G2),(AND(ISNUMBER(SEARCH(B225,I2)),H2&lt;G2)))</f>
        <v>0</v>
      </c>
      <c r="F225" t="str">
        <f ca="1">IF(ISNA(VLOOKUP(B225,J3:J9,1,FALSE)), "FALSE", "TRUE")</f>
        <v>FALSE</v>
      </c>
      <c r="M225" s="13" t="s">
        <v>986</v>
      </c>
      <c r="N225" s="13" t="s">
        <v>926</v>
      </c>
    </row>
    <row r="226" spans="1:14">
      <c r="A226" s="13" t="s">
        <v>987</v>
      </c>
      <c r="B226" s="13" t="s">
        <v>927</v>
      </c>
      <c r="C226" t="b">
        <f ca="1">OR(AND(ISNUMBER(SEARCH(B225,I2)),H2&gt;G2),(AND(ISNUMBER(SEARCH(B226,I2)),H2&lt;G2)))</f>
        <v>0</v>
      </c>
      <c r="F226" t="str">
        <f ca="1">IF(ISNA(VLOOKUP(B226,J3:J9,1,FALSE)), "FALSE", "TRUE")</f>
        <v>FALSE</v>
      </c>
      <c r="M226" s="13" t="s">
        <v>987</v>
      </c>
      <c r="N226" s="13" t="s">
        <v>927</v>
      </c>
    </row>
    <row r="227" spans="1:14">
      <c r="A227" s="13" t="s">
        <v>988</v>
      </c>
      <c r="B227" s="13" t="s">
        <v>928</v>
      </c>
      <c r="C227" t="b">
        <f ca="1">OR(AND(ISNUMBER(SEARCH(B226,I2)),H2&gt;G2),(AND(ISNUMBER(SEARCH(B227,I2)),H2&lt;G2)))</f>
        <v>0</v>
      </c>
      <c r="F227" t="str">
        <f ca="1">IF(ISNA(VLOOKUP(B227,J3:J9,1,FALSE)), "FALSE", "TRUE")</f>
        <v>FALSE</v>
      </c>
      <c r="M227" s="13" t="s">
        <v>988</v>
      </c>
      <c r="N227" s="13" t="s">
        <v>928</v>
      </c>
    </row>
    <row r="228" spans="1:14">
      <c r="A228" s="13" t="s">
        <v>989</v>
      </c>
      <c r="B228" s="13" t="s">
        <v>929</v>
      </c>
      <c r="C228" t="b">
        <f ca="1">OR(AND(ISNUMBER(SEARCH(B227,I2)),H2&gt;G2),(AND(ISNUMBER(SEARCH(B228,I2)),H2&lt;G2)))</f>
        <v>0</v>
      </c>
      <c r="F228" t="str">
        <f ca="1">IF(ISNA(VLOOKUP(B228,J3:J9,1,FALSE)), "FALSE", "TRUE")</f>
        <v>FALSE</v>
      </c>
      <c r="M228" s="13" t="s">
        <v>989</v>
      </c>
      <c r="N228" s="13" t="s">
        <v>929</v>
      </c>
    </row>
    <row r="229" spans="1:14">
      <c r="A229" s="13" t="s">
        <v>990</v>
      </c>
      <c r="B229" s="13" t="s">
        <v>930</v>
      </c>
      <c r="C229" t="b">
        <f ca="1">OR(AND(ISNUMBER(SEARCH(B228,I2)),H2&gt;G2),(AND(ISNUMBER(SEARCH(B229,I2)),H2&lt;G2)))</f>
        <v>0</v>
      </c>
      <c r="F229" t="str">
        <f ca="1">IF(ISNA(VLOOKUP(B229,J3:J9,1,FALSE)), "FALSE", "TRUE")</f>
        <v>FALSE</v>
      </c>
      <c r="M229" s="13" t="s">
        <v>990</v>
      </c>
      <c r="N229" s="13" t="s">
        <v>930</v>
      </c>
    </row>
    <row r="230" spans="1:14">
      <c r="A230" s="13" t="s">
        <v>991</v>
      </c>
      <c r="B230" s="13" t="s">
        <v>931</v>
      </c>
      <c r="C230" t="b">
        <f ca="1">OR(AND(ISNUMBER(SEARCH(B229,I2)),H2&gt;G2),(AND(ISNUMBER(SEARCH(B230,I2)),H2&lt;G2)))</f>
        <v>0</v>
      </c>
      <c r="F230" t="str">
        <f ca="1">IF(ISNA(VLOOKUP(B230,J3:J9,1,FALSE)), "FALSE", "TRUE")</f>
        <v>FALSE</v>
      </c>
      <c r="M230" s="13" t="s">
        <v>991</v>
      </c>
      <c r="N230" s="13" t="s">
        <v>931</v>
      </c>
    </row>
    <row r="231" spans="1:14">
      <c r="A231" s="13" t="s">
        <v>992</v>
      </c>
      <c r="B231" s="13" t="s">
        <v>932</v>
      </c>
      <c r="C231" t="b">
        <f ca="1">OR(AND(ISNUMBER(SEARCH(B230,I2)),H2&gt;G2),(AND(ISNUMBER(SEARCH(B231,I2)),H2&lt;G2)))</f>
        <v>0</v>
      </c>
      <c r="F231" t="str">
        <f ca="1">IF(ISNA(VLOOKUP(B231,J3:J9,1,FALSE)), "FALSE", "TRUE")</f>
        <v>FALSE</v>
      </c>
      <c r="M231" s="13" t="s">
        <v>992</v>
      </c>
      <c r="N231" s="13" t="s">
        <v>932</v>
      </c>
    </row>
    <row r="232" spans="1:14">
      <c r="A232" s="13" t="s">
        <v>993</v>
      </c>
      <c r="B232" s="13" t="s">
        <v>933</v>
      </c>
      <c r="C232" t="b">
        <f ca="1">OR(AND(ISNUMBER(SEARCH(B231,I2)),H2&gt;G2),(AND(ISNUMBER(SEARCH(B232,I2)),H2&lt;G2)))</f>
        <v>0</v>
      </c>
      <c r="F232" t="str">
        <f ca="1">IF(ISNA(VLOOKUP(B232,J3:J9,1,FALSE)), "FALSE", "TRUE")</f>
        <v>FALSE</v>
      </c>
      <c r="M232" s="13" t="s">
        <v>993</v>
      </c>
      <c r="N232" s="13" t="s">
        <v>933</v>
      </c>
    </row>
    <row r="233" spans="1:14">
      <c r="A233" s="13" t="s">
        <v>994</v>
      </c>
      <c r="B233" s="13" t="s">
        <v>934</v>
      </c>
      <c r="C233" t="b">
        <f ca="1">OR(AND(ISNUMBER(SEARCH(B232,I2)),H2&gt;G2),(AND(ISNUMBER(SEARCH(B233,I2)),H2&lt;G2)))</f>
        <v>0</v>
      </c>
      <c r="F233" t="str">
        <f ca="1">IF(ISNA(VLOOKUP(B233,J3:J9,1,FALSE)), "FALSE", "TRUE")</f>
        <v>FALSE</v>
      </c>
      <c r="M233" s="13" t="s">
        <v>994</v>
      </c>
      <c r="N233" s="13" t="s">
        <v>934</v>
      </c>
    </row>
    <row r="234" spans="1:14">
      <c r="A234" s="13" t="s">
        <v>995</v>
      </c>
      <c r="B234" s="13" t="s">
        <v>935</v>
      </c>
      <c r="C234" t="b">
        <f ca="1">OR(AND(ISNUMBER(SEARCH(B233,I2)),H2&gt;G2),(AND(ISNUMBER(SEARCH(B234,I2)),H2&lt;G2)))</f>
        <v>0</v>
      </c>
      <c r="F234" t="str">
        <f ca="1">IF(ISNA(VLOOKUP(B234,J3:J9,1,FALSE)), "FALSE", "TRUE")</f>
        <v>FALSE</v>
      </c>
      <c r="M234" s="13" t="s">
        <v>995</v>
      </c>
      <c r="N234" s="13" t="s">
        <v>935</v>
      </c>
    </row>
    <row r="235" spans="1:14">
      <c r="A235" s="13" t="s">
        <v>996</v>
      </c>
      <c r="B235" s="13" t="s">
        <v>936</v>
      </c>
      <c r="C235" t="b">
        <f ca="1">OR(AND(ISNUMBER(SEARCH(B234,I2)),H2&gt;G2),(AND(ISNUMBER(SEARCH(B235,I2)),H2&lt;G2)))</f>
        <v>0</v>
      </c>
      <c r="F235" t="str">
        <f ca="1">IF(ISNA(VLOOKUP(B235,J3:J9,1,FALSE)), "FALSE", "TRUE")</f>
        <v>FALSE</v>
      </c>
      <c r="M235" s="13" t="s">
        <v>996</v>
      </c>
      <c r="N235" s="13" t="s">
        <v>936</v>
      </c>
    </row>
    <row r="236" spans="1:14">
      <c r="A236" s="13" t="s">
        <v>997</v>
      </c>
      <c r="B236" s="13" t="s">
        <v>937</v>
      </c>
      <c r="C236" t="b">
        <f ca="1">OR(AND(ISNUMBER(SEARCH(B235,I2)),H2&gt;G2),(AND(ISNUMBER(SEARCH(B236,I2)),H2&lt;G2)))</f>
        <v>0</v>
      </c>
      <c r="F236" t="str">
        <f ca="1">IF(ISNA(VLOOKUP(B236,J3:J9,1,FALSE)), "FALSE", "TRUE")</f>
        <v>FALSE</v>
      </c>
      <c r="M236" s="13" t="s">
        <v>997</v>
      </c>
      <c r="N236" s="13" t="s">
        <v>937</v>
      </c>
    </row>
    <row r="237" spans="1:14">
      <c r="A237" s="13" t="s">
        <v>998</v>
      </c>
      <c r="B237" s="13" t="s">
        <v>938</v>
      </c>
      <c r="C237" t="b">
        <f ca="1">OR(AND(ISNUMBER(SEARCH(B236,I2)),H2&gt;G2),(AND(ISNUMBER(SEARCH(B237,I2)),H2&lt;G2)))</f>
        <v>0</v>
      </c>
      <c r="F237" t="str">
        <f ca="1">IF(ISNA(VLOOKUP(B237,J3:J9,1,FALSE)), "FALSE", "TRUE")</f>
        <v>FALSE</v>
      </c>
      <c r="M237" s="13" t="s">
        <v>998</v>
      </c>
      <c r="N237" s="13" t="s">
        <v>938</v>
      </c>
    </row>
    <row r="238" spans="1:14">
      <c r="A238" s="13" t="s">
        <v>999</v>
      </c>
      <c r="B238" s="13" t="s">
        <v>939</v>
      </c>
      <c r="C238" t="b">
        <f ca="1">OR(AND(ISNUMBER(SEARCH(B237,I2)),H2&gt;G2),(AND(ISNUMBER(SEARCH(B238,I2)),H2&lt;G2)))</f>
        <v>0</v>
      </c>
      <c r="F238" t="str">
        <f ca="1">IF(ISNA(VLOOKUP(B238,J3:J9,1,FALSE)), "FALSE", "TRUE")</f>
        <v>FALSE</v>
      </c>
      <c r="M238" s="13" t="s">
        <v>999</v>
      </c>
      <c r="N238" s="13" t="s">
        <v>939</v>
      </c>
    </row>
    <row r="239" spans="1:14">
      <c r="A239" s="13" t="s">
        <v>1000</v>
      </c>
      <c r="B239" s="13" t="s">
        <v>940</v>
      </c>
      <c r="C239" t="b">
        <f ca="1">OR(AND(ISNUMBER(SEARCH(B238,I2)),H2&gt;G2),(AND(ISNUMBER(SEARCH(B239,I2)),H2&lt;G2)))</f>
        <v>0</v>
      </c>
      <c r="F239" t="str">
        <f ca="1">IF(ISNA(VLOOKUP(B239,J3:J9,1,FALSE)), "FALSE", "TRUE")</f>
        <v>FALSE</v>
      </c>
      <c r="M239" s="13" t="s">
        <v>1000</v>
      </c>
      <c r="N239" s="13" t="s">
        <v>940</v>
      </c>
    </row>
    <row r="240" spans="1:14">
      <c r="A240" s="13" t="s">
        <v>1001</v>
      </c>
      <c r="B240" s="13" t="s">
        <v>941</v>
      </c>
      <c r="C240" t="b">
        <f ca="1">OR(AND(ISNUMBER(SEARCH(B239,I2)),H2&gt;G2),(AND(ISNUMBER(SEARCH(B240,I2)),H2&lt;G2)))</f>
        <v>0</v>
      </c>
      <c r="F240" t="str">
        <f ca="1">IF(ISNA(VLOOKUP(B240,J3:J9,1,FALSE)), "FALSE", "TRUE")</f>
        <v>FALSE</v>
      </c>
      <c r="M240" s="13" t="s">
        <v>1001</v>
      </c>
      <c r="N240" s="13" t="s">
        <v>941</v>
      </c>
    </row>
    <row r="241" spans="1:14">
      <c r="A241" s="13" t="s">
        <v>1002</v>
      </c>
      <c r="B241" s="13" t="s">
        <v>942</v>
      </c>
      <c r="C241" t="b">
        <f ca="1">OR(AND(ISNUMBER(SEARCH(B240,I2)),H2&gt;G2),(AND(ISNUMBER(SEARCH(B241,I2)),H2&lt;G2)))</f>
        <v>0</v>
      </c>
      <c r="F241" t="str">
        <f ca="1">IF(ISNA(VLOOKUP(B241,J3:J9,1,FALSE)), "FALSE", "TRUE")</f>
        <v>FALSE</v>
      </c>
      <c r="M241" s="13" t="s">
        <v>1002</v>
      </c>
      <c r="N241" s="13" t="s">
        <v>942</v>
      </c>
    </row>
    <row r="242" spans="1:14">
      <c r="A242" s="13" t="s">
        <v>638</v>
      </c>
      <c r="B242" s="13" t="s">
        <v>278</v>
      </c>
      <c r="C242" t="b">
        <f ca="1">OR(AND(ISNUMBER(SEARCH(B241,I2)),H2&gt;G2),(AND(ISNUMBER(SEARCH(B242,I2)),H2&lt;G2)))</f>
        <v>0</v>
      </c>
      <c r="F242" t="str">
        <f ca="1">IF(ISNA(VLOOKUP(B242,J3:J9,1,FALSE)), "FALSE", "TRUE")</f>
        <v>FALSE</v>
      </c>
      <c r="M242" s="13" t="s">
        <v>638</v>
      </c>
      <c r="N242" s="13" t="s">
        <v>278</v>
      </c>
    </row>
    <row r="243" spans="1:14">
      <c r="A243" t="s">
        <v>639</v>
      </c>
      <c r="B243" s="13" t="s">
        <v>279</v>
      </c>
      <c r="C243" t="b">
        <f ca="1">OR(AND(ISNUMBER(SEARCH(B242,I2)),H2&gt;G2),(AND(ISNUMBER(SEARCH(B243,I2)),H2&lt;G2)))</f>
        <v>0</v>
      </c>
      <c r="F243" t="str">
        <f ca="1">IF(ISNA(VLOOKUP(B243,J3:J9,1,FALSE)), "FALSE", "TRUE")</f>
        <v>FALSE</v>
      </c>
      <c r="M243" t="s">
        <v>639</v>
      </c>
      <c r="N243" s="13" t="s">
        <v>279</v>
      </c>
    </row>
    <row r="244" spans="1:14">
      <c r="A244" t="s">
        <v>640</v>
      </c>
      <c r="B244" s="13" t="s">
        <v>280</v>
      </c>
      <c r="C244" t="b">
        <f ca="1">OR(AND(ISNUMBER(SEARCH(B243,I2)),H2&gt;G2),(AND(ISNUMBER(SEARCH(B244,I2)),H2&lt;G2)))</f>
        <v>0</v>
      </c>
      <c r="F244" t="str">
        <f ca="1">IF(ISNA(VLOOKUP(B244,J3:J9,1,FALSE)), "FALSE", "TRUE")</f>
        <v>FALSE</v>
      </c>
      <c r="M244" t="s">
        <v>640</v>
      </c>
      <c r="N244" s="13" t="s">
        <v>280</v>
      </c>
    </row>
    <row r="245" spans="1:14">
      <c r="A245" t="s">
        <v>641</v>
      </c>
      <c r="B245" s="13" t="s">
        <v>281</v>
      </c>
      <c r="C245" t="b">
        <f ca="1">OR(AND(ISNUMBER(SEARCH(B244,I2)),H2&gt;G2),(AND(ISNUMBER(SEARCH(B245,I2)),H2&lt;G2)))</f>
        <v>0</v>
      </c>
      <c r="F245" t="str">
        <f ca="1">IF(ISNA(VLOOKUP(B245,J3:J9,1,FALSE)), "FALSE", "TRUE")</f>
        <v>FALSE</v>
      </c>
      <c r="M245" t="s">
        <v>641</v>
      </c>
      <c r="N245" s="13" t="s">
        <v>281</v>
      </c>
    </row>
    <row r="246" spans="1:14">
      <c r="A246" t="s">
        <v>642</v>
      </c>
      <c r="B246" s="13" t="s">
        <v>282</v>
      </c>
      <c r="C246" t="b">
        <f ca="1">OR(AND(ISNUMBER(SEARCH(B245,I2)),H2&gt;G2),(AND(ISNUMBER(SEARCH(B246,I2)),H2&lt;G2)))</f>
        <v>0</v>
      </c>
      <c r="F246" t="str">
        <f ca="1">IF(ISNA(VLOOKUP(B246,J3:J9,1,FALSE)), "FALSE", "TRUE")</f>
        <v>FALSE</v>
      </c>
      <c r="M246" t="s">
        <v>642</v>
      </c>
      <c r="N246" s="13" t="s">
        <v>282</v>
      </c>
    </row>
    <row r="247" spans="1:14">
      <c r="A247" t="s">
        <v>643</v>
      </c>
      <c r="B247" s="13" t="s">
        <v>283</v>
      </c>
      <c r="C247" t="b">
        <f ca="1">OR(AND(ISNUMBER(SEARCH(B246,I2)),H2&gt;G2),(AND(ISNUMBER(SEARCH(B247,I2)),H2&lt;G2)))</f>
        <v>0</v>
      </c>
      <c r="F247" t="str">
        <f ca="1">IF(ISNA(VLOOKUP(B247,J3:J9,1,FALSE)), "FALSE", "TRUE")</f>
        <v>FALSE</v>
      </c>
      <c r="M247" t="s">
        <v>643</v>
      </c>
      <c r="N247" s="13" t="s">
        <v>283</v>
      </c>
    </row>
    <row r="248" spans="1:14">
      <c r="A248" t="s">
        <v>644</v>
      </c>
      <c r="B248" s="13" t="s">
        <v>284</v>
      </c>
      <c r="C248" t="b">
        <f ca="1">OR(AND(ISNUMBER(SEARCH(B247,I2)),H2&gt;G2),(AND(ISNUMBER(SEARCH(B248,I2)),H2&lt;G2)))</f>
        <v>0</v>
      </c>
      <c r="F248" t="str">
        <f ca="1">IF(ISNA(VLOOKUP(B248,J3:J9,1,FALSE)), "FALSE", "TRUE")</f>
        <v>FALSE</v>
      </c>
      <c r="M248" t="s">
        <v>644</v>
      </c>
      <c r="N248" s="13" t="s">
        <v>284</v>
      </c>
    </row>
    <row r="249" spans="1:14">
      <c r="A249" t="s">
        <v>645</v>
      </c>
      <c r="B249" s="13" t="s">
        <v>285</v>
      </c>
      <c r="C249" t="b">
        <f ca="1">OR(AND(ISNUMBER(SEARCH(B248,I2)),H2&gt;G2),(AND(ISNUMBER(SEARCH(B249,I2)),H2&lt;G2)))</f>
        <v>0</v>
      </c>
      <c r="F249" t="str">
        <f ca="1">IF(ISNA(VLOOKUP(B249,J3:J9,1,FALSE)), "FALSE", "TRUE")</f>
        <v>FALSE</v>
      </c>
      <c r="M249" t="s">
        <v>645</v>
      </c>
      <c r="N249" s="13" t="s">
        <v>285</v>
      </c>
    </row>
    <row r="250" spans="1:14">
      <c r="A250" t="s">
        <v>646</v>
      </c>
      <c r="B250" s="13" t="s">
        <v>286</v>
      </c>
      <c r="C250" t="b">
        <f ca="1">OR(AND(ISNUMBER(SEARCH(B249,I2)),H2&gt;G2),(AND(ISNUMBER(SEARCH(B250,I2)),H2&lt;G2)))</f>
        <v>0</v>
      </c>
      <c r="F250" t="str">
        <f ca="1">IF(ISNA(VLOOKUP(B250,J3:J9,1,FALSE)), "FALSE", "TRUE")</f>
        <v>TRUE</v>
      </c>
      <c r="M250" t="s">
        <v>646</v>
      </c>
      <c r="N250" s="13" t="s">
        <v>286</v>
      </c>
    </row>
    <row r="251" spans="1:14">
      <c r="A251" t="s">
        <v>647</v>
      </c>
      <c r="B251" s="13" t="s">
        <v>287</v>
      </c>
      <c r="C251" t="b">
        <f ca="1">OR(AND(ISNUMBER(SEARCH(B250,I2)),H2&gt;G2),(AND(ISNUMBER(SEARCH(B251,I2)),H2&lt;G2)))</f>
        <v>0</v>
      </c>
      <c r="F251" t="str">
        <f ca="1">IF(ISNA(VLOOKUP(B251,J3:J9,1,FALSE)), "FALSE", "TRUE")</f>
        <v>TRUE</v>
      </c>
      <c r="M251" t="s">
        <v>647</v>
      </c>
      <c r="N251" s="13" t="s">
        <v>287</v>
      </c>
    </row>
    <row r="252" spans="1:14">
      <c r="A252" t="s">
        <v>648</v>
      </c>
      <c r="B252" s="13" t="s">
        <v>288</v>
      </c>
      <c r="C252" t="b">
        <f ca="1">OR(AND(ISNUMBER(SEARCH(B251,I2)),H2&gt;G2),(AND(ISNUMBER(SEARCH(B252,I2)),H2&lt;G2)))</f>
        <v>0</v>
      </c>
      <c r="F252" t="str">
        <f ca="1">IF(ISNA(VLOOKUP(B252,J3:J9,1,FALSE)), "FALSE", "TRUE")</f>
        <v>TRUE</v>
      </c>
      <c r="M252" t="s">
        <v>648</v>
      </c>
      <c r="N252" s="13" t="s">
        <v>288</v>
      </c>
    </row>
    <row r="253" spans="1:14">
      <c r="A253" t="s">
        <v>649</v>
      </c>
      <c r="B253" s="13" t="s">
        <v>289</v>
      </c>
      <c r="C253" t="b">
        <f ca="1">OR(AND(ISNUMBER(SEARCH(B252,I2)),H2&gt;G2),(AND(ISNUMBER(SEARCH(B253,I2)),H2&lt;G2)))</f>
        <v>0</v>
      </c>
      <c r="F253" t="str">
        <f ca="1">IF(ISNA(VLOOKUP(B253,J3:J9,1,FALSE)), "FALSE", "TRUE")</f>
        <v>TRUE</v>
      </c>
      <c r="M253" t="s">
        <v>649</v>
      </c>
      <c r="N253" s="13" t="s">
        <v>289</v>
      </c>
    </row>
    <row r="254" spans="1:14">
      <c r="A254" t="s">
        <v>650</v>
      </c>
      <c r="B254" s="13" t="s">
        <v>290</v>
      </c>
      <c r="C254" t="b">
        <f ca="1">OR(AND(ISNUMBER(SEARCH(B253,I2)),H2&gt;G2),(AND(ISNUMBER(SEARCH(B254,I2)),H2&lt;G2)))</f>
        <v>0</v>
      </c>
      <c r="F254" t="str">
        <f ca="1">IF(ISNA(VLOOKUP(B254,J3:J9,1,FALSE)), "FALSE", "TRUE")</f>
        <v>TRUE</v>
      </c>
      <c r="M254" t="s">
        <v>650</v>
      </c>
      <c r="N254" s="13" t="s">
        <v>290</v>
      </c>
    </row>
    <row r="255" spans="1:14">
      <c r="A255" t="s">
        <v>651</v>
      </c>
      <c r="B255" s="13" t="s">
        <v>291</v>
      </c>
      <c r="C255" t="b">
        <f ca="1">OR(AND(ISNUMBER(SEARCH(B254,I2)),H2&gt;G2),(AND(ISNUMBER(SEARCH(B255,I2)),H2&lt;G2)))</f>
        <v>0</v>
      </c>
      <c r="D255" s="13" t="s">
        <v>858</v>
      </c>
      <c r="F255" t="str">
        <f ca="1">IF(ISNA(VLOOKUP(B255,J3:J9,1,FALSE)), "FALSE", "TRUE")</f>
        <v>TRUE</v>
      </c>
      <c r="K255" s="13" t="s">
        <v>839</v>
      </c>
      <c r="M255" t="s">
        <v>651</v>
      </c>
      <c r="N255" s="13" t="s">
        <v>291</v>
      </c>
    </row>
    <row r="256" spans="1:14">
      <c r="A256" t="s">
        <v>652</v>
      </c>
      <c r="B256" s="13" t="s">
        <v>292</v>
      </c>
      <c r="C256" t="b">
        <f ca="1">OR(AND(ISNUMBER(SEARCH(B255,I2)),H2&gt;G2),(AND(ISNUMBER(SEARCH(B256,I2)),H2&lt;G2)))</f>
        <v>0</v>
      </c>
      <c r="D256" s="13" t="s">
        <v>858</v>
      </c>
      <c r="F256" t="str">
        <f ca="1">IF(ISNA(VLOOKUP(B256,J3:J9,1,FALSE)), "FALSE", "TRUE")</f>
        <v>TRUE</v>
      </c>
      <c r="K256" s="13" t="s">
        <v>840</v>
      </c>
      <c r="M256" t="s">
        <v>652</v>
      </c>
      <c r="N256" s="13" t="s">
        <v>292</v>
      </c>
    </row>
    <row r="257" spans="1:14">
      <c r="A257" t="s">
        <v>653</v>
      </c>
      <c r="B257" s="13" t="s">
        <v>293</v>
      </c>
      <c r="C257" t="b">
        <f ca="1">OR(AND(ISNUMBER(SEARCH(B256,I2)),H2&gt;G2),(AND(ISNUMBER(SEARCH(B257,I2)),H2&lt;G2)))</f>
        <v>1</v>
      </c>
      <c r="D257" s="13" t="s">
        <v>858</v>
      </c>
      <c r="E257" t="s">
        <v>42</v>
      </c>
      <c r="F257" t="str">
        <f ca="1">IF(ISNA(VLOOKUP(B257,J3:J9,1,FALSE)), "FALSE", "TRUE")</f>
        <v>FALSE</v>
      </c>
      <c r="K257" s="13" t="s">
        <v>841</v>
      </c>
      <c r="M257" t="s">
        <v>653</v>
      </c>
      <c r="N257" s="13" t="s">
        <v>293</v>
      </c>
    </row>
    <row r="258" spans="1:14">
      <c r="A258" t="s">
        <v>654</v>
      </c>
      <c r="B258" s="13" t="s">
        <v>294</v>
      </c>
      <c r="C258" t="b">
        <f ca="1">OR(AND(ISNUMBER(SEARCH(B257,I2)),H2&gt;G2),(AND(ISNUMBER(SEARCH(B258,I2)),H2&lt;G2)))</f>
        <v>0</v>
      </c>
      <c r="D258" s="13" t="s">
        <v>858</v>
      </c>
      <c r="E258" t="s">
        <v>43</v>
      </c>
      <c r="F258" t="str">
        <f ca="1">IF(ISNA(VLOOKUP(B258,J3:J9,1,FALSE)), "FALSE", "TRUE")</f>
        <v>FALSE</v>
      </c>
      <c r="K258" s="13" t="s">
        <v>841</v>
      </c>
      <c r="M258" t="s">
        <v>654</v>
      </c>
      <c r="N258" s="13" t="s">
        <v>294</v>
      </c>
    </row>
    <row r="259" spans="1:14">
      <c r="A259" t="s">
        <v>655</v>
      </c>
      <c r="B259" s="13" t="s">
        <v>295</v>
      </c>
      <c r="C259" t="b">
        <f ca="1">OR(AND(ISNUMBER(SEARCH(B258,I2)),H2&gt;G2),(AND(ISNUMBER(SEARCH(B259,I2)),H2&lt;G2)))</f>
        <v>0</v>
      </c>
      <c r="D259" s="13" t="s">
        <v>858</v>
      </c>
      <c r="E259" t="s">
        <v>44</v>
      </c>
      <c r="F259" t="str">
        <f ca="1">IF(ISNA(VLOOKUP(B259,J3:J9,1,FALSE)), "FALSE", "TRUE")</f>
        <v>FALSE</v>
      </c>
      <c r="K259" s="13" t="s">
        <v>841</v>
      </c>
      <c r="M259" t="s">
        <v>655</v>
      </c>
      <c r="N259" s="13" t="s">
        <v>295</v>
      </c>
    </row>
    <row r="260" spans="1:14">
      <c r="A260" t="s">
        <v>656</v>
      </c>
      <c r="B260" s="13" t="s">
        <v>296</v>
      </c>
      <c r="C260" t="b">
        <f ca="1">OR(AND(ISNUMBER(SEARCH(B259,I2)),H2&gt;G2),(AND(ISNUMBER(SEARCH(B260,I2)),H2&lt;G2)))</f>
        <v>0</v>
      </c>
      <c r="D260" s="13" t="s">
        <v>858</v>
      </c>
      <c r="E260" t="s">
        <v>45</v>
      </c>
      <c r="F260" t="str">
        <f ca="1">IF(ISNA(VLOOKUP(B260,J3:J9,1,FALSE)), "FALSE", "TRUE")</f>
        <v>FALSE</v>
      </c>
      <c r="K260" s="13" t="s">
        <v>841</v>
      </c>
      <c r="M260" t="s">
        <v>656</v>
      </c>
      <c r="N260" s="13" t="s">
        <v>296</v>
      </c>
    </row>
    <row r="261" spans="1:14">
      <c r="A261" t="s">
        <v>657</v>
      </c>
      <c r="B261" s="13" t="s">
        <v>297</v>
      </c>
      <c r="C261" t="b">
        <f ca="1">OR(AND(ISNUMBER(SEARCH(B260,I2)),H2&gt;G2),(AND(ISNUMBER(SEARCH(B261,I2)),H2&lt;G2)))</f>
        <v>0</v>
      </c>
      <c r="D261" s="13" t="s">
        <v>858</v>
      </c>
      <c r="E261" t="s">
        <v>46</v>
      </c>
      <c r="F261" t="str">
        <f ca="1">IF(ISNA(VLOOKUP(B261,J3:J9,1,FALSE)), "FALSE", "TRUE")</f>
        <v>FALSE</v>
      </c>
      <c r="K261" s="13" t="s">
        <v>843</v>
      </c>
      <c r="M261" t="s">
        <v>657</v>
      </c>
      <c r="N261" s="13" t="s">
        <v>297</v>
      </c>
    </row>
    <row r="262" spans="1:14">
      <c r="A262" t="s">
        <v>658</v>
      </c>
      <c r="B262" s="13" t="s">
        <v>298</v>
      </c>
      <c r="C262" t="b">
        <f ca="1">OR(AND(ISNUMBER(SEARCH(B261,I2)),H2&gt;G2),(AND(ISNUMBER(SEARCH(B262,I2)),H2&lt;G2)))</f>
        <v>0</v>
      </c>
      <c r="D262" s="13" t="s">
        <v>858</v>
      </c>
      <c r="E262" t="s">
        <v>47</v>
      </c>
      <c r="F262" t="str">
        <f ca="1">IF(ISNA(VLOOKUP(B262,J3:J9,1,FALSE)), "FALSE", "TRUE")</f>
        <v>FALSE</v>
      </c>
      <c r="K262" s="13" t="s">
        <v>842</v>
      </c>
      <c r="M262" t="s">
        <v>658</v>
      </c>
      <c r="N262" s="13" t="s">
        <v>298</v>
      </c>
    </row>
    <row r="263" spans="1:14">
      <c r="A263" t="s">
        <v>659</v>
      </c>
      <c r="B263" s="13" t="s">
        <v>299</v>
      </c>
      <c r="C263" t="b">
        <f ca="1">OR(AND(ISNUMBER(SEARCH(B262,I2)),H2&gt;G2),(AND(ISNUMBER(SEARCH(B263,I2)),H2&lt;G2)))</f>
        <v>0</v>
      </c>
      <c r="E263" t="s">
        <v>48</v>
      </c>
      <c r="F263" t="str">
        <f ca="1">IF(ISNA(VLOOKUP(B263,J3:J9,1,FALSE)), "FALSE", "TRUE")</f>
        <v>FALSE</v>
      </c>
      <c r="M263" t="s">
        <v>659</v>
      </c>
      <c r="N263" s="13" t="s">
        <v>299</v>
      </c>
    </row>
    <row r="264" spans="1:14">
      <c r="A264" t="s">
        <v>660</v>
      </c>
      <c r="B264" s="13" t="s">
        <v>300</v>
      </c>
      <c r="C264" t="b">
        <f ca="1">OR(AND(ISNUMBER(SEARCH(B263,I2)),H2&gt;G2),(AND(ISNUMBER(SEARCH(B264,I2)),H2&lt;G2)))</f>
        <v>0</v>
      </c>
      <c r="E264" t="s">
        <v>49</v>
      </c>
      <c r="F264" t="str">
        <f ca="1">IF(ISNA(VLOOKUP(B264,J3:J9,1,FALSE)), "FALSE", "TRUE")</f>
        <v>FALSE</v>
      </c>
      <c r="M264" t="s">
        <v>660</v>
      </c>
      <c r="N264" s="13" t="s">
        <v>300</v>
      </c>
    </row>
    <row r="265" spans="1:14">
      <c r="A265" t="s">
        <v>661</v>
      </c>
      <c r="B265" s="13" t="s">
        <v>301</v>
      </c>
      <c r="C265" t="b">
        <f ca="1">OR(AND(ISNUMBER(SEARCH(B264,I2)),H2&gt;G2),(AND(ISNUMBER(SEARCH(B265,I2)),H2&lt;G2)))</f>
        <v>0</v>
      </c>
      <c r="E265" t="s">
        <v>50</v>
      </c>
      <c r="F265" t="str">
        <f ca="1">IF(ISNA(VLOOKUP(B265,J3:J9,1,FALSE)), "FALSE", "TRUE")</f>
        <v>FALSE</v>
      </c>
      <c r="M265" t="s">
        <v>661</v>
      </c>
      <c r="N265" s="13" t="s">
        <v>301</v>
      </c>
    </row>
    <row r="266" spans="1:14">
      <c r="A266" t="s">
        <v>662</v>
      </c>
      <c r="B266" s="13" t="s">
        <v>302</v>
      </c>
      <c r="C266" t="b">
        <f ca="1">OR(AND(ISNUMBER(SEARCH(B265,I2)),H2&gt;G2),(AND(ISNUMBER(SEARCH(B266,I2)),H2&lt;G2)))</f>
        <v>0</v>
      </c>
      <c r="E266" t="s">
        <v>51</v>
      </c>
      <c r="F266" t="str">
        <f ca="1">IF(ISNA(VLOOKUP(B266,J3:J9,1,FALSE)), "FALSE", "TRUE")</f>
        <v>FALSE</v>
      </c>
      <c r="M266" t="s">
        <v>662</v>
      </c>
      <c r="N266" s="13" t="s">
        <v>302</v>
      </c>
    </row>
    <row r="267" spans="1:14">
      <c r="A267" t="s">
        <v>663</v>
      </c>
      <c r="B267" s="13" t="s">
        <v>303</v>
      </c>
      <c r="C267" t="b">
        <f ca="1">OR(AND(ISNUMBER(SEARCH(B266,I2)),H2&gt;G2),(AND(ISNUMBER(SEARCH(B267,I2)),H2&lt;G2)))</f>
        <v>0</v>
      </c>
      <c r="E267" t="s">
        <v>52</v>
      </c>
      <c r="F267" t="str">
        <f ca="1">IF(ISNA(VLOOKUP(B267,J3:J9,1,FALSE)), "FALSE", "TRUE")</f>
        <v>FALSE</v>
      </c>
      <c r="M267" t="s">
        <v>663</v>
      </c>
      <c r="N267" s="13" t="s">
        <v>303</v>
      </c>
    </row>
    <row r="268" spans="1:14">
      <c r="A268" t="s">
        <v>664</v>
      </c>
      <c r="B268" s="13" t="s">
        <v>304</v>
      </c>
      <c r="C268" t="b">
        <f ca="1">OR(AND(ISNUMBER(SEARCH(B267,I2)),H2&gt;G2),(AND(ISNUMBER(SEARCH(B268,I2)),H2&lt;G2)))</f>
        <v>0</v>
      </c>
      <c r="E268" t="s">
        <v>53</v>
      </c>
      <c r="F268" t="str">
        <f ca="1">IF(ISNA(VLOOKUP(B268,J3:J9,1,FALSE)), "FALSE", "TRUE")</f>
        <v>FALSE</v>
      </c>
      <c r="M268" t="s">
        <v>664</v>
      </c>
      <c r="N268" s="13" t="s">
        <v>304</v>
      </c>
    </row>
    <row r="269" spans="1:14">
      <c r="A269" t="s">
        <v>665</v>
      </c>
      <c r="B269" s="13" t="s">
        <v>305</v>
      </c>
      <c r="C269" t="b">
        <f ca="1">OR(AND(ISNUMBER(SEARCH(B268,I2)),H2&gt;G2),(AND(ISNUMBER(SEARCH(B269,I2)),H2&lt;G2)))</f>
        <v>0</v>
      </c>
      <c r="E269" t="s">
        <v>54</v>
      </c>
      <c r="F269" t="str">
        <f ca="1">IF(ISNA(VLOOKUP(B269,J3:J9,1,FALSE)), "FALSE", "TRUE")</f>
        <v>FALSE</v>
      </c>
      <c r="M269" t="s">
        <v>665</v>
      </c>
      <c r="N269" s="13" t="s">
        <v>305</v>
      </c>
    </row>
    <row r="270" spans="1:14">
      <c r="A270" t="s">
        <v>666</v>
      </c>
      <c r="B270" s="13" t="s">
        <v>306</v>
      </c>
      <c r="C270" t="b">
        <f ca="1">OR(AND(ISNUMBER(SEARCH(B269,I2)),H2&gt;G2),(AND(ISNUMBER(SEARCH(B270,I2)),H2&lt;G2)))</f>
        <v>0</v>
      </c>
      <c r="E270" t="s">
        <v>55</v>
      </c>
      <c r="F270" t="str">
        <f ca="1">IF(ISNA(VLOOKUP(B270,J3:J9,1,FALSE)), "FALSE", "TRUE")</f>
        <v>FALSE</v>
      </c>
      <c r="M270" t="s">
        <v>666</v>
      </c>
      <c r="N270" s="13" t="s">
        <v>306</v>
      </c>
    </row>
    <row r="271" spans="1:14">
      <c r="A271" t="s">
        <v>667</v>
      </c>
      <c r="B271" s="13" t="s">
        <v>307</v>
      </c>
      <c r="C271" t="b">
        <f ca="1">OR(AND(ISNUMBER(SEARCH(B270,I2)),H2&gt;G2),(AND(ISNUMBER(SEARCH(B271,I2)),H2&lt;G2)))</f>
        <v>0</v>
      </c>
      <c r="E271" t="s">
        <v>56</v>
      </c>
      <c r="F271" t="str">
        <f ca="1">IF(ISNA(VLOOKUP(B271,J3:J9,1,FALSE)), "FALSE", "TRUE")</f>
        <v>FALSE</v>
      </c>
      <c r="M271" t="s">
        <v>667</v>
      </c>
      <c r="N271" s="13" t="s">
        <v>307</v>
      </c>
    </row>
    <row r="272" spans="1:14">
      <c r="A272" t="s">
        <v>668</v>
      </c>
      <c r="B272" s="13" t="s">
        <v>308</v>
      </c>
      <c r="C272" t="b">
        <f ca="1">OR(AND(ISNUMBER(SEARCH(B271,I2)),H2&gt;G2),(AND(ISNUMBER(SEARCH(B272,I2)),H2&lt;G2)))</f>
        <v>0</v>
      </c>
      <c r="E272" t="s">
        <v>57</v>
      </c>
      <c r="F272" t="str">
        <f ca="1">IF(ISNA(VLOOKUP(B272,J3:J9,1,FALSE)), "FALSE", "TRUE")</f>
        <v>FALSE</v>
      </c>
      <c r="M272" t="s">
        <v>668</v>
      </c>
      <c r="N272" s="13" t="s">
        <v>308</v>
      </c>
    </row>
    <row r="273" spans="1:14">
      <c r="A273" t="s">
        <v>669</v>
      </c>
      <c r="B273" s="13" t="s">
        <v>309</v>
      </c>
      <c r="C273" t="b">
        <f ca="1">OR(AND(ISNUMBER(SEARCH(B272,I2)),H2&gt;G2),(AND(ISNUMBER(SEARCH(B273,I2)),H2&lt;G2)))</f>
        <v>0</v>
      </c>
      <c r="E273" t="s">
        <v>58</v>
      </c>
      <c r="F273" t="str">
        <f ca="1">IF(ISNA(VLOOKUP(B273,J3:J9,1,FALSE)), "FALSE", "TRUE")</f>
        <v>FALSE</v>
      </c>
      <c r="M273" t="s">
        <v>669</v>
      </c>
      <c r="N273" s="13" t="s">
        <v>309</v>
      </c>
    </row>
    <row r="274" spans="1:14">
      <c r="A274" t="s">
        <v>670</v>
      </c>
      <c r="B274" s="13" t="s">
        <v>310</v>
      </c>
      <c r="C274" t="b">
        <f ca="1">OR(AND(ISNUMBER(SEARCH(B273,I2)),H2&gt;G2),(AND(ISNUMBER(SEARCH(B274,I2)),H2&lt;G2)))</f>
        <v>0</v>
      </c>
      <c r="E274" t="s">
        <v>59</v>
      </c>
      <c r="F274" t="str">
        <f ca="1">IF(ISNA(VLOOKUP(B274,J3:J9,1,FALSE)), "FALSE", "TRUE")</f>
        <v>FALSE</v>
      </c>
      <c r="M274" t="s">
        <v>670</v>
      </c>
      <c r="N274" s="13" t="s">
        <v>310</v>
      </c>
    </row>
    <row r="275" spans="1:14">
      <c r="A275" t="s">
        <v>671</v>
      </c>
      <c r="B275" s="13" t="s">
        <v>311</v>
      </c>
      <c r="C275" t="b">
        <f ca="1">OR(AND(ISNUMBER(SEARCH(B274,I2)),H2&gt;G2),(AND(ISNUMBER(SEARCH(B275,I2)),H2&lt;G2)))</f>
        <v>0</v>
      </c>
      <c r="E275" t="s">
        <v>60</v>
      </c>
      <c r="F275" t="str">
        <f ca="1">IF(ISNA(VLOOKUP(B275,J3:J9,1,FALSE)), "FALSE", "TRUE")</f>
        <v>FALSE</v>
      </c>
      <c r="M275" t="s">
        <v>671</v>
      </c>
      <c r="N275" s="13" t="s">
        <v>311</v>
      </c>
    </row>
    <row r="276" spans="1:14">
      <c r="A276" t="s">
        <v>672</v>
      </c>
      <c r="B276" s="13" t="s">
        <v>312</v>
      </c>
      <c r="C276" t="b">
        <f ca="1">OR(AND(ISNUMBER(SEARCH(B275,I2)),H2&gt;G2),(AND(ISNUMBER(SEARCH(B276,I2)),H2&lt;G2)))</f>
        <v>0</v>
      </c>
      <c r="E276" t="s">
        <v>61</v>
      </c>
      <c r="F276" t="str">
        <f ca="1">IF(ISNA(VLOOKUP(B276,J3:J9,1,FALSE)), "FALSE", "TRUE")</f>
        <v>FALSE</v>
      </c>
      <c r="M276" t="s">
        <v>672</v>
      </c>
      <c r="N276" s="13" t="s">
        <v>312</v>
      </c>
    </row>
    <row r="277" spans="1:14">
      <c r="A277" t="s">
        <v>673</v>
      </c>
      <c r="B277" s="13" t="s">
        <v>313</v>
      </c>
      <c r="C277" t="b">
        <f ca="1">OR(AND(ISNUMBER(SEARCH(B276,I2)),H2&gt;G2),(AND(ISNUMBER(SEARCH(B277,I2)),H2&lt;G2)))</f>
        <v>0</v>
      </c>
      <c r="E277" t="s">
        <v>62</v>
      </c>
      <c r="F277" t="str">
        <f ca="1">IF(ISNA(VLOOKUP(B277,J3:J9,1,FALSE)), "FALSE", "TRUE")</f>
        <v>FALSE</v>
      </c>
      <c r="M277" t="s">
        <v>673</v>
      </c>
      <c r="N277" s="13" t="s">
        <v>313</v>
      </c>
    </row>
    <row r="278" spans="1:14">
      <c r="A278" t="s">
        <v>674</v>
      </c>
      <c r="B278" s="13" t="s">
        <v>314</v>
      </c>
      <c r="C278" t="b">
        <f ca="1">OR(AND(ISNUMBER(SEARCH(B277,I2)),H2&gt;G2),(AND(ISNUMBER(SEARCH(B278,I2)),H2&lt;G2)))</f>
        <v>0</v>
      </c>
      <c r="E278" t="s">
        <v>63</v>
      </c>
      <c r="F278" t="str">
        <f ca="1">IF(ISNA(VLOOKUP(B278,J3:J9,1,FALSE)), "FALSE", "TRUE")</f>
        <v>FALSE</v>
      </c>
      <c r="M278" t="s">
        <v>674</v>
      </c>
      <c r="N278" s="13" t="s">
        <v>314</v>
      </c>
    </row>
    <row r="279" spans="1:14">
      <c r="A279" t="s">
        <v>675</v>
      </c>
      <c r="B279" s="13" t="s">
        <v>315</v>
      </c>
      <c r="C279" t="b">
        <f ca="1">OR(AND(ISNUMBER(SEARCH(B278,I2)),H2&gt;G2),(AND(ISNUMBER(SEARCH(B279,I2)),H2&lt;G2)))</f>
        <v>0</v>
      </c>
      <c r="E279" t="s">
        <v>64</v>
      </c>
      <c r="F279" t="str">
        <f ca="1">IF(ISNA(VLOOKUP(B279,J3:J9,1,FALSE)), "FALSE", "TRUE")</f>
        <v>FALSE</v>
      </c>
      <c r="M279" t="s">
        <v>675</v>
      </c>
      <c r="N279" s="13" t="s">
        <v>315</v>
      </c>
    </row>
    <row r="280" spans="1:14">
      <c r="A280" t="s">
        <v>676</v>
      </c>
      <c r="B280" s="13" t="s">
        <v>316</v>
      </c>
      <c r="C280" t="b">
        <f ca="1">OR(AND(ISNUMBER(SEARCH(B279,I2)),H2&gt;G2),(AND(ISNUMBER(SEARCH(B280,I2)),H2&lt;G2)))</f>
        <v>0</v>
      </c>
      <c r="E280" t="s">
        <v>65</v>
      </c>
      <c r="F280" t="str">
        <f ca="1">IF(ISNA(VLOOKUP(B280,J3:J9,1,FALSE)), "FALSE", "TRUE")</f>
        <v>FALSE</v>
      </c>
      <c r="M280" t="s">
        <v>676</v>
      </c>
      <c r="N280" s="13" t="s">
        <v>316</v>
      </c>
    </row>
    <row r="281" spans="1:14">
      <c r="A281" t="s">
        <v>677</v>
      </c>
      <c r="B281" s="13" t="s">
        <v>317</v>
      </c>
      <c r="C281" t="b">
        <f ca="1">OR(AND(ISNUMBER(SEARCH(B280,I2)),H2&gt;G2),(AND(ISNUMBER(SEARCH(B281,I2)),H2&lt;G2)))</f>
        <v>0</v>
      </c>
      <c r="E281" t="s">
        <v>66</v>
      </c>
      <c r="F281" t="str">
        <f ca="1">IF(ISNA(VLOOKUP(B281,J3:J9,1,FALSE)), "FALSE", "TRUE")</f>
        <v>FALSE</v>
      </c>
      <c r="M281" t="s">
        <v>677</v>
      </c>
      <c r="N281" s="13" t="s">
        <v>317</v>
      </c>
    </row>
    <row r="282" spans="1:14">
      <c r="A282" t="s">
        <v>67</v>
      </c>
      <c r="B282" s="13" t="s">
        <v>318</v>
      </c>
      <c r="C282" t="b">
        <f ca="1">OR(AND(ISNUMBER(SEARCH(B281,I2)),H2&gt;G2),(AND(ISNUMBER(SEARCH(B282,I2)),H2&lt;G2)))</f>
        <v>0</v>
      </c>
      <c r="E282" t="s">
        <v>68</v>
      </c>
      <c r="F282" t="str">
        <f ca="1">IF(ISNA(VLOOKUP(B282,J3:J9,1,FALSE)), "FALSE", "TRUE")</f>
        <v>FALSE</v>
      </c>
      <c r="M282" t="s">
        <v>67</v>
      </c>
      <c r="N282" s="13" t="s">
        <v>318</v>
      </c>
    </row>
    <row r="283" spans="1:14">
      <c r="A283" t="s">
        <v>69</v>
      </c>
      <c r="B283" s="13" t="s">
        <v>319</v>
      </c>
      <c r="C283" t="b">
        <f ca="1">OR(AND(ISNUMBER(SEARCH(B282,I2)),H2&gt;G2),(AND(ISNUMBER(SEARCH(B283,I2)),H2&lt;G2)))</f>
        <v>0</v>
      </c>
      <c r="E283" t="s">
        <v>70</v>
      </c>
      <c r="F283" t="str">
        <f ca="1">IF(ISNA(VLOOKUP(B283,J3:J9,1,FALSE)), "FALSE", "TRUE")</f>
        <v>FALSE</v>
      </c>
      <c r="M283" t="s">
        <v>69</v>
      </c>
      <c r="N283" s="13" t="s">
        <v>319</v>
      </c>
    </row>
    <row r="284" spans="1:14">
      <c r="A284" t="s">
        <v>71</v>
      </c>
      <c r="B284" s="13" t="s">
        <v>320</v>
      </c>
      <c r="C284" t="b">
        <f ca="1">OR(AND(ISNUMBER(SEARCH(B283,I2)),H2&gt;G2),(AND(ISNUMBER(SEARCH(B284,I2)),H2&lt;G2)))</f>
        <v>0</v>
      </c>
      <c r="E284" t="s">
        <v>72</v>
      </c>
      <c r="F284" t="str">
        <f ca="1">IF(ISNA(VLOOKUP(B284,J3:J9,1,FALSE)), "FALSE", "TRUE")</f>
        <v>FALSE</v>
      </c>
      <c r="M284" t="s">
        <v>71</v>
      </c>
      <c r="N284" s="13" t="s">
        <v>320</v>
      </c>
    </row>
    <row r="285" spans="1:14">
      <c r="A285" t="s">
        <v>73</v>
      </c>
      <c r="B285" s="13" t="s">
        <v>321</v>
      </c>
      <c r="C285" t="b">
        <f ca="1">OR(AND(ISNUMBER(SEARCH(B284,I2)),H2&gt;G2),(AND(ISNUMBER(SEARCH(B285,I2)),H2&lt;G2)))</f>
        <v>0</v>
      </c>
      <c r="E285" t="s">
        <v>74</v>
      </c>
      <c r="F285" t="str">
        <f ca="1">IF(ISNA(VLOOKUP(B285,J3:J9,1,FALSE)), "FALSE", "TRUE")</f>
        <v>FALSE</v>
      </c>
      <c r="M285" t="s">
        <v>73</v>
      </c>
      <c r="N285" s="13" t="s">
        <v>321</v>
      </c>
    </row>
    <row r="286" spans="1:14">
      <c r="A286" t="s">
        <v>678</v>
      </c>
      <c r="B286" s="13" t="s">
        <v>322</v>
      </c>
      <c r="C286" t="b">
        <f ca="1">OR(AND(ISNUMBER(SEARCH(B285,I2)),H2&gt;G2),(AND(ISNUMBER(SEARCH(B286,I2)),H2&lt;G2)))</f>
        <v>0</v>
      </c>
      <c r="E286" t="s">
        <v>75</v>
      </c>
      <c r="F286" t="str">
        <f ca="1">IF(ISNA(VLOOKUP(B286,J3:J9,1,FALSE)), "FALSE", "TRUE")</f>
        <v>FALSE</v>
      </c>
      <c r="M286" t="s">
        <v>678</v>
      </c>
      <c r="N286" s="13" t="s">
        <v>322</v>
      </c>
    </row>
    <row r="287" spans="1:14">
      <c r="A287" t="s">
        <v>679</v>
      </c>
      <c r="B287" s="13" t="s">
        <v>323</v>
      </c>
      <c r="C287" t="b">
        <f ca="1">OR(AND(ISNUMBER(SEARCH(B286,I2)),H2&gt;G2),(AND(ISNUMBER(SEARCH(B287,I2)),H2&lt;G2)))</f>
        <v>0</v>
      </c>
      <c r="E287" t="s">
        <v>76</v>
      </c>
      <c r="F287" t="str">
        <f ca="1">IF(ISNA(VLOOKUP(B287,J3:J9,1,FALSE)), "FALSE", "TRUE")</f>
        <v>FALSE</v>
      </c>
      <c r="M287" t="s">
        <v>679</v>
      </c>
      <c r="N287" s="13" t="s">
        <v>323</v>
      </c>
    </row>
    <row r="288" spans="1:14">
      <c r="A288" t="s">
        <v>680</v>
      </c>
      <c r="B288" s="13" t="s">
        <v>324</v>
      </c>
      <c r="C288" t="b">
        <f ca="1">OR(AND(ISNUMBER(SEARCH(B287,I2)),H2&gt;G2),(AND(ISNUMBER(SEARCH(B288,I2)),H2&lt;G2)))</f>
        <v>0</v>
      </c>
      <c r="D288" s="13" t="s">
        <v>859</v>
      </c>
      <c r="E288" t="s">
        <v>77</v>
      </c>
      <c r="F288" t="str">
        <f ca="1">IF(ISNA(VLOOKUP(B288,J3:J9,1,FALSE)), "FALSE", "TRUE")</f>
        <v>FALSE</v>
      </c>
      <c r="K288" s="13" t="s">
        <v>844</v>
      </c>
      <c r="M288" t="s">
        <v>680</v>
      </c>
      <c r="N288" s="13" t="s">
        <v>324</v>
      </c>
    </row>
    <row r="289" spans="1:14">
      <c r="A289" t="s">
        <v>681</v>
      </c>
      <c r="B289" s="13" t="s">
        <v>325</v>
      </c>
      <c r="C289" t="b">
        <f ca="1">OR(AND(ISNUMBER(SEARCH(B288,I2)),H2&gt;G2),(AND(ISNUMBER(SEARCH(B289,I2)),H2&lt;G2)))</f>
        <v>0</v>
      </c>
      <c r="E289" t="s">
        <v>78</v>
      </c>
      <c r="F289" t="str">
        <f ca="1">IF(ISNA(VLOOKUP(B289,J3:J9,1,FALSE)), "FALSE", "TRUE")</f>
        <v>FALSE</v>
      </c>
      <c r="M289" t="s">
        <v>681</v>
      </c>
      <c r="N289" s="13" t="s">
        <v>325</v>
      </c>
    </row>
    <row r="290" spans="1:14">
      <c r="A290" t="s">
        <v>682</v>
      </c>
      <c r="B290" s="13" t="s">
        <v>326</v>
      </c>
      <c r="C290" t="b">
        <f ca="1">OR(AND(ISNUMBER(SEARCH(B289,I2)),H2&gt;G2),(AND(ISNUMBER(SEARCH(B290,I2)),H2&lt;G2)))</f>
        <v>0</v>
      </c>
      <c r="E290" t="s">
        <v>79</v>
      </c>
      <c r="F290" t="str">
        <f ca="1">IF(ISNA(VLOOKUP(B290,J3:J9,1,FALSE)), "FALSE", "TRUE")</f>
        <v>FALSE</v>
      </c>
      <c r="M290" t="s">
        <v>682</v>
      </c>
      <c r="N290" s="13" t="s">
        <v>326</v>
      </c>
    </row>
    <row r="291" spans="1:14">
      <c r="A291" t="s">
        <v>683</v>
      </c>
      <c r="B291" s="13" t="s">
        <v>327</v>
      </c>
      <c r="C291" t="b">
        <f ca="1">OR(AND(ISNUMBER(SEARCH(B290,I2)),H2&gt;G2),(AND(ISNUMBER(SEARCH(B291,I2)),H2&lt;G2)))</f>
        <v>0</v>
      </c>
      <c r="E291" t="s">
        <v>80</v>
      </c>
      <c r="F291" t="str">
        <f ca="1">IF(ISNA(VLOOKUP(B291,J3:J9,1,FALSE)), "FALSE", "TRUE")</f>
        <v>FALSE</v>
      </c>
      <c r="M291" t="s">
        <v>683</v>
      </c>
      <c r="N291" s="13" t="s">
        <v>327</v>
      </c>
    </row>
    <row r="292" spans="1:14">
      <c r="A292" t="s">
        <v>684</v>
      </c>
      <c r="B292" s="13" t="s">
        <v>328</v>
      </c>
      <c r="C292" t="b">
        <f ca="1">OR(AND(ISNUMBER(SEARCH(B291,I2)),H2&gt;G2),(AND(ISNUMBER(SEARCH(B292,I2)),H2&lt;G2)))</f>
        <v>0</v>
      </c>
      <c r="E292" t="s">
        <v>81</v>
      </c>
      <c r="F292" t="str">
        <f ca="1">IF(ISNA(VLOOKUP(B292,J3:J9,1,FALSE)), "FALSE", "TRUE")</f>
        <v>FALSE</v>
      </c>
      <c r="M292" t="s">
        <v>684</v>
      </c>
      <c r="N292" s="13" t="s">
        <v>328</v>
      </c>
    </row>
    <row r="293" spans="1:14">
      <c r="A293" t="s">
        <v>685</v>
      </c>
      <c r="B293" s="13" t="s">
        <v>329</v>
      </c>
      <c r="C293" t="b">
        <f ca="1">OR(AND(ISNUMBER(SEARCH(B292,I2)),H2&gt;G2),(AND(ISNUMBER(SEARCH(B293,I2)),H2&lt;G2)))</f>
        <v>0</v>
      </c>
      <c r="E293" t="s">
        <v>82</v>
      </c>
      <c r="F293" t="str">
        <f ca="1">IF(ISNA(VLOOKUP(B293,J3:J9,1,FALSE)), "FALSE", "TRUE")</f>
        <v>FALSE</v>
      </c>
      <c r="M293" t="s">
        <v>685</v>
      </c>
      <c r="N293" s="13" t="s">
        <v>329</v>
      </c>
    </row>
    <row r="294" spans="1:14">
      <c r="A294" t="s">
        <v>686</v>
      </c>
      <c r="B294" s="13" t="s">
        <v>330</v>
      </c>
      <c r="C294" t="b">
        <f ca="1">OR(AND(ISNUMBER(SEARCH(B293,I2)),H2&gt;G2),(AND(ISNUMBER(SEARCH(B294,I2)),H2&lt;G2)))</f>
        <v>0</v>
      </c>
      <c r="E294" t="s">
        <v>83</v>
      </c>
      <c r="F294" t="str">
        <f ca="1">IF(ISNA(VLOOKUP(B294,J3:J9,1,FALSE)), "FALSE", "TRUE")</f>
        <v>FALSE</v>
      </c>
      <c r="M294" t="s">
        <v>686</v>
      </c>
      <c r="N294" s="13" t="s">
        <v>330</v>
      </c>
    </row>
    <row r="295" spans="1:14">
      <c r="A295" t="s">
        <v>687</v>
      </c>
      <c r="B295" s="13" t="s">
        <v>331</v>
      </c>
      <c r="C295" t="b">
        <f ca="1">OR(AND(ISNUMBER(SEARCH(B294,I2)),H2&gt;G2),(AND(ISNUMBER(SEARCH(B295,I2)),H2&lt;G2)))</f>
        <v>0</v>
      </c>
      <c r="E295" t="s">
        <v>84</v>
      </c>
      <c r="F295" t="str">
        <f ca="1">IF(ISNA(VLOOKUP(B295,J3:J9,1,FALSE)), "FALSE", "TRUE")</f>
        <v>FALSE</v>
      </c>
      <c r="M295" t="s">
        <v>687</v>
      </c>
      <c r="N295" s="13" t="s">
        <v>331</v>
      </c>
    </row>
    <row r="296" spans="1:14">
      <c r="A296" t="s">
        <v>688</v>
      </c>
      <c r="B296" s="13" t="s">
        <v>332</v>
      </c>
      <c r="C296" t="b">
        <f ca="1">OR(AND(ISNUMBER(SEARCH(B295,I2)),H2&gt;G2),(AND(ISNUMBER(SEARCH(B296,I2)),H2&lt;G2)))</f>
        <v>0</v>
      </c>
      <c r="E296" t="s">
        <v>85</v>
      </c>
      <c r="F296" t="str">
        <f ca="1">IF(ISNA(VLOOKUP(B296,J3:J9,1,FALSE)), "FALSE", "TRUE")</f>
        <v>FALSE</v>
      </c>
      <c r="M296" t="s">
        <v>688</v>
      </c>
      <c r="N296" s="13" t="s">
        <v>332</v>
      </c>
    </row>
    <row r="297" spans="1:14">
      <c r="A297" t="s">
        <v>689</v>
      </c>
      <c r="B297" s="13" t="s">
        <v>333</v>
      </c>
      <c r="C297" t="b">
        <f ca="1">OR(AND(ISNUMBER(SEARCH(B296,I2)),H2&gt;G2),(AND(ISNUMBER(SEARCH(B297,I2)),H2&lt;G2)))</f>
        <v>0</v>
      </c>
      <c r="E297" t="s">
        <v>86</v>
      </c>
      <c r="F297" t="str">
        <f ca="1">IF(ISNA(VLOOKUP(B297,J3:J9,1,FALSE)), "FALSE", "TRUE")</f>
        <v>FALSE</v>
      </c>
      <c r="M297" t="s">
        <v>689</v>
      </c>
      <c r="N297" s="13" t="s">
        <v>333</v>
      </c>
    </row>
    <row r="298" spans="1:14">
      <c r="A298" t="s">
        <v>690</v>
      </c>
      <c r="B298" s="13" t="s">
        <v>334</v>
      </c>
      <c r="C298" t="b">
        <f ca="1">OR(AND(ISNUMBER(SEARCH(B297,I2)),H2&gt;G2),(AND(ISNUMBER(SEARCH(B298,I2)),H2&lt;G2)))</f>
        <v>0</v>
      </c>
      <c r="E298" t="s">
        <v>87</v>
      </c>
      <c r="F298" t="str">
        <f ca="1">IF(ISNA(VLOOKUP(B298,J3:J9,1,FALSE)), "FALSE", "TRUE")</f>
        <v>FALSE</v>
      </c>
      <c r="M298" t="s">
        <v>690</v>
      </c>
      <c r="N298" s="13" t="s">
        <v>334</v>
      </c>
    </row>
    <row r="299" spans="1:14">
      <c r="A299" t="s">
        <v>691</v>
      </c>
      <c r="B299" s="13" t="s">
        <v>335</v>
      </c>
      <c r="C299" t="b">
        <f ca="1">OR(AND(ISNUMBER(SEARCH(B298,I2)),H2&gt;G2),(AND(ISNUMBER(SEARCH(B299,I2)),H2&lt;G2)))</f>
        <v>0</v>
      </c>
      <c r="E299" t="s">
        <v>88</v>
      </c>
      <c r="F299" t="str">
        <f ca="1">IF(ISNA(VLOOKUP(B299,J3:J9,1,FALSE)), "FALSE", "TRUE")</f>
        <v>FALSE</v>
      </c>
      <c r="M299" t="s">
        <v>691</v>
      </c>
      <c r="N299" s="13" t="s">
        <v>335</v>
      </c>
    </row>
    <row r="300" spans="1:14">
      <c r="A300" t="s">
        <v>692</v>
      </c>
      <c r="B300" s="13" t="s">
        <v>336</v>
      </c>
      <c r="C300" t="b">
        <f ca="1">OR(AND(ISNUMBER(SEARCH(B299,I2)),H2&gt;G2),(AND(ISNUMBER(SEARCH(B300,I2)),H2&lt;G2)))</f>
        <v>0</v>
      </c>
      <c r="E300" t="s">
        <v>89</v>
      </c>
      <c r="F300" t="str">
        <f ca="1">IF(ISNA(VLOOKUP(B300,J3:J9,1,FALSE)), "FALSE", "TRUE")</f>
        <v>FALSE</v>
      </c>
      <c r="M300" t="s">
        <v>692</v>
      </c>
      <c r="N300" s="13" t="s">
        <v>336</v>
      </c>
    </row>
    <row r="301" spans="1:14">
      <c r="A301" t="s">
        <v>693</v>
      </c>
      <c r="B301" s="13" t="s">
        <v>337</v>
      </c>
      <c r="C301" t="b">
        <f ca="1">OR(AND(ISNUMBER(SEARCH(B300,I2)),H2&gt;G2),(AND(ISNUMBER(SEARCH(B301,I2)),H2&lt;G2)))</f>
        <v>0</v>
      </c>
      <c r="E301" t="s">
        <v>90</v>
      </c>
      <c r="F301" t="str">
        <f ca="1">IF(ISNA(VLOOKUP(B301,J3:J9,1,FALSE)), "FALSE", "TRUE")</f>
        <v>FALSE</v>
      </c>
      <c r="M301" t="s">
        <v>693</v>
      </c>
      <c r="N301" s="13" t="s">
        <v>337</v>
      </c>
    </row>
    <row r="302" spans="1:14">
      <c r="A302" t="s">
        <v>694</v>
      </c>
      <c r="B302" s="13" t="s">
        <v>338</v>
      </c>
      <c r="C302" t="b">
        <f ca="1">OR(AND(ISNUMBER(SEARCH(B301,I2)),H2&gt;G2),(AND(ISNUMBER(SEARCH(B302,I2)),H2&lt;G2)))</f>
        <v>0</v>
      </c>
      <c r="E302" t="s">
        <v>91</v>
      </c>
      <c r="F302" t="str">
        <f ca="1">IF(ISNA(VLOOKUP(B302,J3:J9,1,FALSE)), "FALSE", "TRUE")</f>
        <v>FALSE</v>
      </c>
      <c r="M302" t="s">
        <v>694</v>
      </c>
      <c r="N302" s="13" t="s">
        <v>338</v>
      </c>
    </row>
    <row r="303" spans="1:14">
      <c r="A303" t="s">
        <v>695</v>
      </c>
      <c r="B303" s="13" t="s">
        <v>339</v>
      </c>
      <c r="C303" t="b">
        <f ca="1">OR(AND(ISNUMBER(SEARCH(B302,I2)),H2&gt;G2),(AND(ISNUMBER(SEARCH(B303,I2)),H2&lt;G2)))</f>
        <v>0</v>
      </c>
      <c r="E303" t="s">
        <v>92</v>
      </c>
      <c r="F303" t="str">
        <f ca="1">IF(ISNA(VLOOKUP(B303,J3:J9,1,FALSE)), "FALSE", "TRUE")</f>
        <v>FALSE</v>
      </c>
      <c r="M303" t="s">
        <v>695</v>
      </c>
      <c r="N303" s="13" t="s">
        <v>339</v>
      </c>
    </row>
    <row r="304" spans="1:14">
      <c r="A304" t="s">
        <v>696</v>
      </c>
      <c r="B304" s="13" t="s">
        <v>340</v>
      </c>
      <c r="C304" t="b">
        <f ca="1">OR(AND(ISNUMBER(SEARCH(B303,I2)),H2&gt;G2),(AND(ISNUMBER(SEARCH(B304,I2)),H2&lt;G2)))</f>
        <v>0</v>
      </c>
      <c r="E304" t="s">
        <v>93</v>
      </c>
      <c r="F304" t="str">
        <f ca="1">IF(ISNA(VLOOKUP(B304,J3:J9,1,FALSE)), "FALSE", "TRUE")</f>
        <v>FALSE</v>
      </c>
      <c r="M304" t="s">
        <v>696</v>
      </c>
      <c r="N304" s="13" t="s">
        <v>340</v>
      </c>
    </row>
    <row r="305" spans="1:14">
      <c r="A305" t="s">
        <v>697</v>
      </c>
      <c r="B305" s="13" t="s">
        <v>341</v>
      </c>
      <c r="C305" t="b">
        <f ca="1">OR(AND(ISNUMBER(SEARCH(B304,I2)),H2&gt;G2),(AND(ISNUMBER(SEARCH(B305,I2)),H2&lt;G2)))</f>
        <v>0</v>
      </c>
      <c r="E305" t="s">
        <v>94</v>
      </c>
      <c r="F305" t="str">
        <f ca="1">IF(ISNA(VLOOKUP(B305,J3:J9,1,FALSE)), "FALSE", "TRUE")</f>
        <v>FALSE</v>
      </c>
      <c r="M305" t="s">
        <v>697</v>
      </c>
      <c r="N305" s="13" t="s">
        <v>341</v>
      </c>
    </row>
    <row r="306" spans="1:14">
      <c r="A306" t="s">
        <v>698</v>
      </c>
      <c r="B306" s="13" t="s">
        <v>342</v>
      </c>
      <c r="C306" t="b">
        <f ca="1">OR(AND(ISNUMBER(SEARCH(B305,I2)),H2&gt;G2),(AND(ISNUMBER(SEARCH(B306,I2)),H2&lt;G2)))</f>
        <v>0</v>
      </c>
      <c r="D306" s="13" t="s">
        <v>860</v>
      </c>
      <c r="E306" s="13" t="s">
        <v>95</v>
      </c>
      <c r="F306" t="str">
        <f ca="1">IF(ISNA(VLOOKUP(B306,J3:J9,1,FALSE)), "FALSE", "TRUE")</f>
        <v>FALSE</v>
      </c>
      <c r="K306" s="13" t="s">
        <v>845</v>
      </c>
      <c r="M306" t="s">
        <v>698</v>
      </c>
      <c r="N306" s="13" t="s">
        <v>342</v>
      </c>
    </row>
    <row r="307" spans="1:14">
      <c r="A307" t="s">
        <v>699</v>
      </c>
      <c r="B307" s="13" t="s">
        <v>343</v>
      </c>
      <c r="C307" t="b">
        <f ca="1">OR(AND(ISNUMBER(SEARCH(B306,I2)),H2&gt;G2),(AND(ISNUMBER(SEARCH(B307,I2)),H2&lt;G2)))</f>
        <v>0</v>
      </c>
      <c r="D307" s="13" t="s">
        <v>860</v>
      </c>
      <c r="F307" t="str">
        <f ca="1">IF(ISNA(VLOOKUP(B307,J3:J9,1,FALSE)), "FALSE", "TRUE")</f>
        <v>FALSE</v>
      </c>
      <c r="K307" s="13" t="s">
        <v>846</v>
      </c>
      <c r="M307" t="s">
        <v>699</v>
      </c>
      <c r="N307" s="13" t="s">
        <v>343</v>
      </c>
    </row>
    <row r="308" spans="1:14">
      <c r="A308" t="s">
        <v>700</v>
      </c>
      <c r="B308" s="13" t="s">
        <v>344</v>
      </c>
      <c r="C308" t="b">
        <f ca="1">OR(AND(ISNUMBER(SEARCH(B307,I2)),H2&gt;G2),(AND(ISNUMBER(SEARCH(B308,I2)),H2&lt;G2)))</f>
        <v>0</v>
      </c>
      <c r="F308" t="str">
        <f ca="1">IF(ISNA(VLOOKUP(B308,J3:J9,1,FALSE)), "FALSE", "TRUE")</f>
        <v>FALSE</v>
      </c>
      <c r="M308" t="s">
        <v>700</v>
      </c>
      <c r="N308" s="13" t="s">
        <v>344</v>
      </c>
    </row>
    <row r="309" spans="1:14">
      <c r="A309" t="s">
        <v>701</v>
      </c>
      <c r="B309" s="13" t="s">
        <v>345</v>
      </c>
      <c r="C309" t="b">
        <f ca="1">OR(AND(ISNUMBER(SEARCH(B308,I2)),H2&gt;G2),(AND(ISNUMBER(SEARCH(B309,I2)),H2&lt;G2)))</f>
        <v>0</v>
      </c>
      <c r="F309" t="str">
        <f ca="1">IF(ISNA(VLOOKUP(B309,J3:J9,1,FALSE)), "FALSE", "TRUE")</f>
        <v>FALSE</v>
      </c>
      <c r="M309" t="s">
        <v>701</v>
      </c>
      <c r="N309" s="13" t="s">
        <v>345</v>
      </c>
    </row>
    <row r="310" spans="1:14">
      <c r="A310" t="s">
        <v>702</v>
      </c>
      <c r="B310" s="13" t="s">
        <v>346</v>
      </c>
      <c r="C310" t="b">
        <f ca="1">OR(AND(ISNUMBER(SEARCH(B309,I2)),H2&gt;G2),(AND(ISNUMBER(SEARCH(B310,I2)),H2&lt;G2)))</f>
        <v>0</v>
      </c>
      <c r="F310" t="str">
        <f ca="1">IF(ISNA(VLOOKUP(B310,J3:J9,1,FALSE)), "FALSE", "TRUE")</f>
        <v>FALSE</v>
      </c>
      <c r="M310" t="s">
        <v>702</v>
      </c>
      <c r="N310" s="13" t="s">
        <v>346</v>
      </c>
    </row>
    <row r="311" spans="1:14">
      <c r="A311" t="s">
        <v>703</v>
      </c>
      <c r="B311" s="13" t="s">
        <v>347</v>
      </c>
      <c r="C311" t="b">
        <f ca="1">OR(AND(ISNUMBER(SEARCH(B310,I2)),H2&gt;G2),(AND(ISNUMBER(SEARCH(B311,I2)),H2&lt;G2)))</f>
        <v>0</v>
      </c>
      <c r="F311" t="str">
        <f ca="1">IF(ISNA(VLOOKUP(B311,J3:J9,1,FALSE)), "FALSE", "TRUE")</f>
        <v>FALSE</v>
      </c>
      <c r="M311" t="s">
        <v>703</v>
      </c>
      <c r="N311" s="13" t="s">
        <v>347</v>
      </c>
    </row>
    <row r="312" spans="1:14">
      <c r="A312" t="s">
        <v>704</v>
      </c>
      <c r="B312" s="13" t="s">
        <v>348</v>
      </c>
      <c r="C312" t="b">
        <f ca="1">OR(AND(ISNUMBER(SEARCH(B311,I2)),H2&gt;G2),(AND(ISNUMBER(SEARCH(B312,I2)),H2&lt;G2)))</f>
        <v>0</v>
      </c>
      <c r="F312" t="str">
        <f ca="1">IF(ISNA(VLOOKUP(B312,J3:J9,1,FALSE)), "FALSE", "TRUE")</f>
        <v>FALSE</v>
      </c>
      <c r="M312" t="s">
        <v>704</v>
      </c>
      <c r="N312" s="13" t="s">
        <v>348</v>
      </c>
    </row>
    <row r="313" spans="1:14">
      <c r="A313" t="s">
        <v>705</v>
      </c>
      <c r="B313" s="13" t="s">
        <v>349</v>
      </c>
      <c r="C313" t="b">
        <f ca="1">OR(AND(ISNUMBER(SEARCH(B312,I2)),H2&gt;G2),(AND(ISNUMBER(SEARCH(B313,I2)),H2&lt;G2)))</f>
        <v>0</v>
      </c>
      <c r="F313" t="str">
        <f ca="1">IF(ISNA(VLOOKUP(B313,J3:J9,1,FALSE)), "FALSE", "TRUE")</f>
        <v>FALSE</v>
      </c>
      <c r="M313" t="s">
        <v>705</v>
      </c>
      <c r="N313" s="13" t="s">
        <v>349</v>
      </c>
    </row>
    <row r="314" spans="1:14">
      <c r="A314" t="s">
        <v>706</v>
      </c>
      <c r="B314" s="13" t="s">
        <v>350</v>
      </c>
      <c r="C314" t="b">
        <f ca="1">OR(AND(ISNUMBER(SEARCH(B313,I2)),H2&gt;G2),(AND(ISNUMBER(SEARCH(B314,I2)),H2&lt;G2)))</f>
        <v>0</v>
      </c>
      <c r="F314" t="str">
        <f ca="1">IF(ISNA(VLOOKUP(B314,J3:J9,1,FALSE)), "FALSE", "TRUE")</f>
        <v>FALSE</v>
      </c>
      <c r="M314" t="s">
        <v>706</v>
      </c>
      <c r="N314" s="13" t="s">
        <v>350</v>
      </c>
    </row>
    <row r="315" spans="1:14">
      <c r="A315" t="s">
        <v>707</v>
      </c>
      <c r="B315" s="13" t="s">
        <v>351</v>
      </c>
      <c r="C315" t="b">
        <f ca="1">OR(AND(ISNUMBER(SEARCH(B314,I2)),H2&gt;G2),(AND(ISNUMBER(SEARCH(B315,I2)),H2&lt;G2)))</f>
        <v>0</v>
      </c>
      <c r="F315" t="str">
        <f ca="1">IF(ISNA(VLOOKUP(B315,J3:J9,1,FALSE)), "FALSE", "TRUE")</f>
        <v>FALSE</v>
      </c>
      <c r="M315" t="s">
        <v>707</v>
      </c>
      <c r="N315" s="13" t="s">
        <v>351</v>
      </c>
    </row>
    <row r="316" spans="1:14">
      <c r="A316" t="s">
        <v>708</v>
      </c>
      <c r="B316" s="13" t="s">
        <v>352</v>
      </c>
      <c r="C316" t="b">
        <f ca="1">OR(AND(ISNUMBER(SEARCH(B315,I2)),H2&gt;G2),(AND(ISNUMBER(SEARCH(B316,I2)),H2&lt;G2)))</f>
        <v>0</v>
      </c>
      <c r="F316" t="str">
        <f ca="1">IF(ISNA(VLOOKUP(B316,J3:J9,1,FALSE)), "FALSE", "TRUE")</f>
        <v>FALSE</v>
      </c>
      <c r="M316" t="s">
        <v>708</v>
      </c>
      <c r="N316" s="13" t="s">
        <v>352</v>
      </c>
    </row>
    <row r="317" spans="1:14">
      <c r="A317" t="s">
        <v>709</v>
      </c>
      <c r="B317" s="13" t="s">
        <v>353</v>
      </c>
      <c r="C317" t="b">
        <f ca="1">OR(AND(ISNUMBER(SEARCH(B316,I2)),H2&gt;G2),(AND(ISNUMBER(SEARCH(B317,I2)),H2&lt;G2)))</f>
        <v>0</v>
      </c>
      <c r="F317" t="str">
        <f ca="1">IF(ISNA(VLOOKUP(B317,J3:J9,1,FALSE)), "FALSE", "TRUE")</f>
        <v>FALSE</v>
      </c>
      <c r="M317" t="s">
        <v>709</v>
      </c>
      <c r="N317" s="13" t="s">
        <v>353</v>
      </c>
    </row>
    <row r="318" spans="1:14">
      <c r="A318" t="s">
        <v>710</v>
      </c>
      <c r="B318" s="13" t="s">
        <v>354</v>
      </c>
      <c r="C318" t="b">
        <f ca="1">OR(AND(ISNUMBER(SEARCH(B317,I2)),H2&gt;G2),(AND(ISNUMBER(SEARCH(B318,I2)),H2&lt;G2)))</f>
        <v>0</v>
      </c>
      <c r="F318" t="str">
        <f ca="1">IF(ISNA(VLOOKUP(B318,J3:J9,1,FALSE)), "FALSE", "TRUE")</f>
        <v>FALSE</v>
      </c>
      <c r="M318" t="s">
        <v>710</v>
      </c>
      <c r="N318" s="13" t="s">
        <v>354</v>
      </c>
    </row>
    <row r="319" spans="1:14">
      <c r="A319" t="s">
        <v>711</v>
      </c>
      <c r="B319" s="13" t="s">
        <v>355</v>
      </c>
      <c r="C319" t="b">
        <f ca="1">OR(AND(ISNUMBER(SEARCH(B318,I2)),H2&gt;G2),(AND(ISNUMBER(SEARCH(B319,I2)),H2&lt;G2)))</f>
        <v>0</v>
      </c>
      <c r="F319" t="str">
        <f ca="1">IF(ISNA(VLOOKUP(B319,J3:J9,1,FALSE)), "FALSE", "TRUE")</f>
        <v>FALSE</v>
      </c>
      <c r="M319" t="s">
        <v>711</v>
      </c>
      <c r="N319" s="13" t="s">
        <v>355</v>
      </c>
    </row>
    <row r="320" spans="1:14">
      <c r="A320" t="s">
        <v>712</v>
      </c>
      <c r="B320" s="13" t="s">
        <v>356</v>
      </c>
      <c r="C320" t="b">
        <f ca="1">OR(AND(ISNUMBER(SEARCH(B319,I2)),H2&gt;G2),(AND(ISNUMBER(SEARCH(B320,I2)),H2&lt;G2)))</f>
        <v>0</v>
      </c>
      <c r="F320" t="str">
        <f ca="1">IF(ISNA(VLOOKUP(B320,J3:J9,1,FALSE)), "FALSE", "TRUE")</f>
        <v>FALSE</v>
      </c>
      <c r="M320" t="s">
        <v>712</v>
      </c>
      <c r="N320" s="13" t="s">
        <v>356</v>
      </c>
    </row>
    <row r="321" spans="1:14">
      <c r="A321" t="s">
        <v>713</v>
      </c>
      <c r="B321" s="13" t="s">
        <v>357</v>
      </c>
      <c r="C321" t="b">
        <f ca="1">OR(AND(ISNUMBER(SEARCH(B320,I2)),H2&gt;G2),(AND(ISNUMBER(SEARCH(B321,I2)),H2&lt;G2)))</f>
        <v>0</v>
      </c>
      <c r="F321" t="str">
        <f ca="1">IF(ISNA(VLOOKUP(B321,J3:J9,1,FALSE)), "FALSE", "TRUE")</f>
        <v>FALSE</v>
      </c>
      <c r="M321" t="s">
        <v>713</v>
      </c>
      <c r="N321" s="13" t="s">
        <v>357</v>
      </c>
    </row>
    <row r="322" spans="1:14">
      <c r="A322" t="s">
        <v>714</v>
      </c>
      <c r="B322" s="13" t="s">
        <v>358</v>
      </c>
      <c r="C322" t="b">
        <f ca="1">OR(AND(ISNUMBER(SEARCH(B321,I2)),H2&gt;G2),(AND(ISNUMBER(SEARCH(B322,I2)),H2&lt;G2)))</f>
        <v>0</v>
      </c>
      <c r="F322" t="str">
        <f ca="1">IF(ISNA(VLOOKUP(B322,J3:J9,1,FALSE)), "FALSE", "TRUE")</f>
        <v>FALSE</v>
      </c>
      <c r="M322" t="s">
        <v>714</v>
      </c>
      <c r="N322" s="13" t="s">
        <v>358</v>
      </c>
    </row>
    <row r="323" spans="1:14">
      <c r="A323" t="s">
        <v>715</v>
      </c>
      <c r="B323" s="13" t="s">
        <v>359</v>
      </c>
      <c r="C323" t="b">
        <f ca="1">OR(AND(ISNUMBER(SEARCH(B322,I2)),H2&gt;G2),(AND(ISNUMBER(SEARCH(B323,I2)),H2&lt;G2)))</f>
        <v>0</v>
      </c>
      <c r="F323" t="str">
        <f ca="1">IF(ISNA(VLOOKUP(B323,J3:J9,1,FALSE)), "FALSE", "TRUE")</f>
        <v>FALSE</v>
      </c>
      <c r="M323" t="s">
        <v>715</v>
      </c>
      <c r="N323" s="13" t="s">
        <v>359</v>
      </c>
    </row>
    <row r="324" spans="1:14">
      <c r="A324" t="s">
        <v>716</v>
      </c>
      <c r="B324" s="13" t="s">
        <v>360</v>
      </c>
      <c r="C324" t="b">
        <f ca="1">OR(AND(ISNUMBER(SEARCH(B323,I2)),H2&gt;G2),(AND(ISNUMBER(SEARCH(B324,I2)),H2&lt;G2)))</f>
        <v>0</v>
      </c>
      <c r="F324" t="str">
        <f ca="1">IF(ISNA(VLOOKUP(B324,J3:J9,1,FALSE)), "FALSE", "TRUE")</f>
        <v>FALSE</v>
      </c>
      <c r="M324" t="s">
        <v>716</v>
      </c>
      <c r="N324" s="13" t="s">
        <v>360</v>
      </c>
    </row>
    <row r="325" spans="1:14">
      <c r="A325" t="s">
        <v>717</v>
      </c>
      <c r="B325" s="13" t="s">
        <v>361</v>
      </c>
      <c r="C325" t="b">
        <f ca="1">OR(AND(ISNUMBER(SEARCH(B324,I2)),H2&gt;G2),(AND(ISNUMBER(SEARCH(B325,I2)),H2&lt;G2)))</f>
        <v>0</v>
      </c>
      <c r="F325" t="str">
        <f ca="1">IF(ISNA(VLOOKUP(B325,J3:J9,1,FALSE)), "FALSE", "TRUE")</f>
        <v>FALSE</v>
      </c>
      <c r="M325" t="s">
        <v>717</v>
      </c>
      <c r="N325" s="13" t="s">
        <v>361</v>
      </c>
    </row>
    <row r="326" spans="1:14">
      <c r="A326" t="s">
        <v>718</v>
      </c>
      <c r="B326" s="13" t="s">
        <v>362</v>
      </c>
      <c r="C326" t="b">
        <f ca="1">OR(AND(ISNUMBER(SEARCH(B325,I2)),H2&gt;G2),(AND(ISNUMBER(SEARCH(B326,I2)),H2&lt;G2)))</f>
        <v>0</v>
      </c>
      <c r="F326" t="str">
        <f ca="1">IF(ISNA(VLOOKUP(B326,J3:J9,1,FALSE)), "FALSE", "TRUE")</f>
        <v>FALSE</v>
      </c>
      <c r="M326" t="s">
        <v>718</v>
      </c>
      <c r="N326" s="13" t="s">
        <v>362</v>
      </c>
    </row>
    <row r="327" spans="1:14">
      <c r="A327" t="s">
        <v>719</v>
      </c>
      <c r="B327" s="13" t="s">
        <v>363</v>
      </c>
      <c r="C327" t="b">
        <f ca="1">OR(AND(ISNUMBER(SEARCH(B326,I2)),H2&gt;G2),(AND(ISNUMBER(SEARCH(B327,I2)),H2&lt;G2)))</f>
        <v>0</v>
      </c>
      <c r="F327" t="str">
        <f ca="1">IF(ISNA(VLOOKUP(B327,J3:J9,1,FALSE)), "FALSE", "TRUE")</f>
        <v>FALSE</v>
      </c>
      <c r="M327" t="s">
        <v>719</v>
      </c>
      <c r="N327" s="13" t="s">
        <v>363</v>
      </c>
    </row>
    <row r="328" spans="1:14">
      <c r="A328" t="s">
        <v>720</v>
      </c>
      <c r="B328" s="13" t="s">
        <v>364</v>
      </c>
      <c r="C328" t="b">
        <f ca="1">OR(AND(ISNUMBER(SEARCH(B327,I2)),H2&gt;G2),(AND(ISNUMBER(SEARCH(B328,I2)),H2&lt;G2)))</f>
        <v>0</v>
      </c>
      <c r="F328" t="str">
        <f ca="1">IF(ISNA(VLOOKUP(B328,J3:J9,1,FALSE)), "FALSE", "TRUE")</f>
        <v>FALSE</v>
      </c>
      <c r="M328" t="s">
        <v>720</v>
      </c>
      <c r="N328" s="13" t="s">
        <v>364</v>
      </c>
    </row>
    <row r="329" spans="1:14">
      <c r="A329" t="s">
        <v>721</v>
      </c>
      <c r="B329" s="13" t="s">
        <v>365</v>
      </c>
      <c r="C329" t="b">
        <f ca="1">OR(AND(ISNUMBER(SEARCH(B328,I2)),H2&gt;G2),(AND(ISNUMBER(SEARCH(B329,I2)),H2&lt;G2)))</f>
        <v>0</v>
      </c>
      <c r="F329" t="str">
        <f ca="1">IF(ISNA(VLOOKUP(B329,J3:J9,1,FALSE)), "FALSE", "TRUE")</f>
        <v>FALSE</v>
      </c>
      <c r="M329" t="s">
        <v>721</v>
      </c>
      <c r="N329" s="13" t="s">
        <v>365</v>
      </c>
    </row>
    <row r="330" spans="1:14">
      <c r="A330" t="s">
        <v>722</v>
      </c>
      <c r="B330" s="13" t="s">
        <v>366</v>
      </c>
      <c r="C330" t="b">
        <f ca="1">OR(AND(ISNUMBER(SEARCH(B329,I2)),H2&gt;G2),(AND(ISNUMBER(SEARCH(B330,I2)),H2&lt;G2)))</f>
        <v>0</v>
      </c>
      <c r="F330" t="str">
        <f ca="1">IF(ISNA(VLOOKUP(B330,J3:J9,1,FALSE)), "FALSE", "TRUE")</f>
        <v>FALSE</v>
      </c>
      <c r="M330" t="s">
        <v>722</v>
      </c>
      <c r="N330" s="13" t="s">
        <v>366</v>
      </c>
    </row>
    <row r="331" spans="1:14">
      <c r="A331" t="s">
        <v>723</v>
      </c>
      <c r="B331" s="13" t="s">
        <v>367</v>
      </c>
      <c r="C331" t="b">
        <f ca="1">OR(AND(ISNUMBER(SEARCH(B330,I2)),H2&gt;G2),(AND(ISNUMBER(SEARCH(B331,I2)),H2&lt;G2)))</f>
        <v>0</v>
      </c>
      <c r="F331" t="str">
        <f ca="1">IF(ISNA(VLOOKUP(B331,J3:J9,1,FALSE)), "FALSE", "TRUE")</f>
        <v>FALSE</v>
      </c>
      <c r="M331" t="s">
        <v>723</v>
      </c>
      <c r="N331" s="13" t="s">
        <v>367</v>
      </c>
    </row>
    <row r="332" spans="1:14">
      <c r="A332" t="s">
        <v>724</v>
      </c>
      <c r="B332" s="13" t="s">
        <v>368</v>
      </c>
      <c r="C332" t="b">
        <f ca="1">OR(AND(ISNUMBER(SEARCH(B331,I2)),H2&gt;G2),(AND(ISNUMBER(SEARCH(B332,I2)),H2&lt;G2)))</f>
        <v>0</v>
      </c>
      <c r="F332" t="str">
        <f ca="1">IF(ISNA(VLOOKUP(B332,J3:J9,1,FALSE)), "FALSE", "TRUE")</f>
        <v>FALSE</v>
      </c>
      <c r="M332" t="s">
        <v>724</v>
      </c>
      <c r="N332" s="13" t="s">
        <v>368</v>
      </c>
    </row>
    <row r="333" spans="1:14">
      <c r="A333" t="s">
        <v>725</v>
      </c>
      <c r="B333" s="13" t="s">
        <v>369</v>
      </c>
      <c r="C333" t="b">
        <f ca="1">OR(AND(ISNUMBER(SEARCH(B332,I2)),H2&gt;G2),(AND(ISNUMBER(SEARCH(B333,I2)),H2&lt;G2)))</f>
        <v>0</v>
      </c>
      <c r="F333" t="str">
        <f ca="1">IF(ISNA(VLOOKUP(B333,J3:J9,1,FALSE)), "FALSE", "TRUE")</f>
        <v>FALSE</v>
      </c>
      <c r="M333" t="s">
        <v>725</v>
      </c>
      <c r="N333" s="13" t="s">
        <v>369</v>
      </c>
    </row>
    <row r="334" spans="1:14">
      <c r="A334" t="s">
        <v>726</v>
      </c>
      <c r="B334" s="13" t="s">
        <v>370</v>
      </c>
      <c r="C334" t="b">
        <f ca="1">OR(AND(ISNUMBER(SEARCH(B333,I2)),H2&gt;G2),(AND(ISNUMBER(SEARCH(B334,I2)),H2&lt;G2)))</f>
        <v>0</v>
      </c>
      <c r="F334" t="str">
        <f ca="1">IF(ISNA(VLOOKUP(B334,J3:J9,1,FALSE)), "FALSE", "TRUE")</f>
        <v>FALSE</v>
      </c>
      <c r="M334" t="s">
        <v>726</v>
      </c>
      <c r="N334" s="13" t="s">
        <v>370</v>
      </c>
    </row>
    <row r="335" spans="1:14">
      <c r="A335" t="s">
        <v>727</v>
      </c>
      <c r="B335" s="13" t="s">
        <v>371</v>
      </c>
      <c r="C335" t="b">
        <f ca="1">OR(AND(ISNUMBER(SEARCH(B334,I2)),H2&gt;G2),(AND(ISNUMBER(SEARCH(B335,I2)),H2&lt;G2)))</f>
        <v>0</v>
      </c>
      <c r="F335" t="str">
        <f ca="1">IF(ISNA(VLOOKUP(B335,J3:J9,1,FALSE)), "FALSE", "TRUE")</f>
        <v>FALSE</v>
      </c>
      <c r="M335" t="s">
        <v>727</v>
      </c>
      <c r="N335" s="13" t="s">
        <v>371</v>
      </c>
    </row>
    <row r="336" spans="1:14">
      <c r="A336" t="s">
        <v>728</v>
      </c>
      <c r="B336" s="13" t="s">
        <v>372</v>
      </c>
      <c r="C336" t="b">
        <f ca="1">OR(AND(ISNUMBER(SEARCH(B335,I2)),H2&gt;G2),(AND(ISNUMBER(SEARCH(B336,I2)),H2&lt;G2)))</f>
        <v>0</v>
      </c>
      <c r="F336" t="str">
        <f ca="1">IF(ISNA(VLOOKUP(B336,J3:J9,1,FALSE)), "FALSE", "TRUE")</f>
        <v>FALSE</v>
      </c>
      <c r="M336" t="s">
        <v>728</v>
      </c>
      <c r="N336" s="13" t="s">
        <v>372</v>
      </c>
    </row>
    <row r="337" spans="1:14">
      <c r="A337" t="s">
        <v>729</v>
      </c>
      <c r="B337" s="13" t="s">
        <v>373</v>
      </c>
      <c r="C337" t="b">
        <f ca="1">OR(AND(ISNUMBER(SEARCH(B336,I2)),H2&gt;G2),(AND(ISNUMBER(SEARCH(B337,I2)),H2&lt;G2)))</f>
        <v>0</v>
      </c>
      <c r="F337" t="str">
        <f ca="1">IF(ISNA(VLOOKUP(B337,J3:J9,1,FALSE)), "FALSE", "TRUE")</f>
        <v>FALSE</v>
      </c>
      <c r="M337" t="s">
        <v>729</v>
      </c>
      <c r="N337" s="13" t="s">
        <v>373</v>
      </c>
    </row>
    <row r="338" spans="1:14">
      <c r="A338" t="s">
        <v>730</v>
      </c>
      <c r="B338" s="13" t="s">
        <v>374</v>
      </c>
      <c r="C338" t="b">
        <f ca="1">OR(AND(ISNUMBER(SEARCH(B337,I2)),H2&gt;G2),(AND(ISNUMBER(SEARCH(B338,I2)),H2&lt;G2)))</f>
        <v>0</v>
      </c>
      <c r="F338" t="str">
        <f ca="1">IF(ISNA(VLOOKUP(B338,J3:J9,1,FALSE)), "FALSE", "TRUE")</f>
        <v>FALSE</v>
      </c>
      <c r="M338" t="s">
        <v>730</v>
      </c>
      <c r="N338" s="13" t="s">
        <v>374</v>
      </c>
    </row>
    <row r="339" spans="1:14">
      <c r="A339" t="s">
        <v>731</v>
      </c>
      <c r="B339" s="13" t="s">
        <v>375</v>
      </c>
      <c r="C339" t="b">
        <f ca="1">OR(AND(ISNUMBER(SEARCH(B338,I2)),H2&gt;G2),(AND(ISNUMBER(SEARCH(B339,I2)),H2&lt;G2)))</f>
        <v>0</v>
      </c>
      <c r="F339" t="str">
        <f ca="1">IF(ISNA(VLOOKUP(B339,J3:J9,1,FALSE)), "FALSE", "TRUE")</f>
        <v>FALSE</v>
      </c>
      <c r="M339" t="s">
        <v>731</v>
      </c>
      <c r="N339" s="13" t="s">
        <v>375</v>
      </c>
    </row>
    <row r="340" spans="1:14">
      <c r="A340" t="s">
        <v>732</v>
      </c>
      <c r="B340" s="13" t="s">
        <v>376</v>
      </c>
      <c r="C340" t="b">
        <f ca="1">OR(AND(ISNUMBER(SEARCH(B339,I2)),H2&gt;G2),(AND(ISNUMBER(SEARCH(B340,I2)),H2&lt;G2)))</f>
        <v>0</v>
      </c>
      <c r="F340" t="str">
        <f ca="1">IF(ISNA(VLOOKUP(B340,J3:J9,1,FALSE)), "FALSE", "TRUE")</f>
        <v>FALSE</v>
      </c>
      <c r="M340" t="s">
        <v>732</v>
      </c>
      <c r="N340" s="13" t="s">
        <v>376</v>
      </c>
    </row>
    <row r="341" spans="1:14">
      <c r="A341" t="s">
        <v>733</v>
      </c>
      <c r="B341" s="13" t="s">
        <v>377</v>
      </c>
      <c r="C341" t="b">
        <f ca="1">OR(AND(ISNUMBER(SEARCH(B340,I2)),H2&gt;G2),(AND(ISNUMBER(SEARCH(B341,I2)),H2&lt;G2)))</f>
        <v>0</v>
      </c>
      <c r="F341" t="str">
        <f ca="1">IF(ISNA(VLOOKUP(B341,J3:J9,1,FALSE)), "FALSE", "TRUE")</f>
        <v>FALSE</v>
      </c>
      <c r="M341" t="s">
        <v>733</v>
      </c>
      <c r="N341" s="13" t="s">
        <v>377</v>
      </c>
    </row>
    <row r="342" spans="1:14">
      <c r="A342" t="s">
        <v>734</v>
      </c>
      <c r="B342" s="13" t="s">
        <v>378</v>
      </c>
      <c r="C342" t="b">
        <f ca="1">OR(AND(ISNUMBER(SEARCH(B341,I2)),H2&gt;G2),(AND(ISNUMBER(SEARCH(B342,I2)),H2&lt;G2)))</f>
        <v>0</v>
      </c>
      <c r="F342" t="str">
        <f ca="1">IF(ISNA(VLOOKUP(B342,J3:J9,1,FALSE)), "FALSE", "TRUE")</f>
        <v>FALSE</v>
      </c>
      <c r="M342" t="s">
        <v>734</v>
      </c>
      <c r="N342" s="13" t="s">
        <v>378</v>
      </c>
    </row>
    <row r="343" spans="1:14">
      <c r="A343" t="s">
        <v>735</v>
      </c>
      <c r="B343" s="13" t="s">
        <v>379</v>
      </c>
      <c r="C343" t="b">
        <f ca="1">OR(AND(ISNUMBER(SEARCH(B342,I2)),H2&gt;G2),(AND(ISNUMBER(SEARCH(B343,I2)),H2&lt;G2)))</f>
        <v>0</v>
      </c>
      <c r="F343" t="str">
        <f ca="1">IF(ISNA(VLOOKUP(B343,J3:J9,1,FALSE)), "FALSE", "TRUE")</f>
        <v>FALSE</v>
      </c>
      <c r="M343" t="s">
        <v>735</v>
      </c>
      <c r="N343" s="13" t="s">
        <v>379</v>
      </c>
    </row>
    <row r="344" spans="1:14">
      <c r="A344" t="s">
        <v>736</v>
      </c>
      <c r="B344" s="13" t="s">
        <v>380</v>
      </c>
      <c r="C344" t="b">
        <f ca="1">OR(AND(ISNUMBER(SEARCH(B343,I2)),H2&gt;G2),(AND(ISNUMBER(SEARCH(B344,I2)),H2&lt;G2)))</f>
        <v>0</v>
      </c>
      <c r="F344" t="str">
        <f ca="1">IF(ISNA(VLOOKUP(B344,J3:J9,1,FALSE)), "FALSE", "TRUE")</f>
        <v>FALSE</v>
      </c>
      <c r="M344" t="s">
        <v>736</v>
      </c>
      <c r="N344" s="13" t="s">
        <v>380</v>
      </c>
    </row>
    <row r="345" spans="1:14">
      <c r="A345" t="s">
        <v>737</v>
      </c>
      <c r="B345" s="13" t="s">
        <v>381</v>
      </c>
      <c r="C345" t="b">
        <f ca="1">OR(AND(ISNUMBER(SEARCH(B344,I2)),H2&gt;G2),(AND(ISNUMBER(SEARCH(B345,I2)),H2&lt;G2)))</f>
        <v>0</v>
      </c>
      <c r="F345" t="str">
        <f ca="1">IF(ISNA(VLOOKUP(B345,J3:J9,1,FALSE)), "FALSE", "TRUE")</f>
        <v>FALSE</v>
      </c>
      <c r="M345" t="s">
        <v>737</v>
      </c>
      <c r="N345" s="13" t="s">
        <v>381</v>
      </c>
    </row>
    <row r="346" spans="1:14">
      <c r="A346" t="s">
        <v>738</v>
      </c>
      <c r="B346" s="13" t="s">
        <v>382</v>
      </c>
      <c r="C346" t="b">
        <f ca="1">OR(AND(ISNUMBER(SEARCH(B345,I2)),H2&gt;G2),(AND(ISNUMBER(SEARCH(B346,I2)),H2&lt;G2)))</f>
        <v>0</v>
      </c>
      <c r="F346" t="str">
        <f ca="1">IF(ISNA(VLOOKUP(B346,J3:J9,1,FALSE)), "FALSE", "TRUE")</f>
        <v>FALSE</v>
      </c>
      <c r="M346" t="s">
        <v>738</v>
      </c>
      <c r="N346" s="13" t="s">
        <v>382</v>
      </c>
    </row>
    <row r="347" spans="1:14">
      <c r="A347" t="s">
        <v>739</v>
      </c>
      <c r="B347" s="13" t="s">
        <v>383</v>
      </c>
      <c r="C347" t="b">
        <f ca="1">OR(AND(ISNUMBER(SEARCH(B346,I2)),H2&gt;G2),(AND(ISNUMBER(SEARCH(B347,I2)),H2&lt;G2)))</f>
        <v>0</v>
      </c>
      <c r="F347" t="str">
        <f ca="1">IF(ISNA(VLOOKUP(B347,J3:J9,1,FALSE)), "FALSE", "TRUE")</f>
        <v>FALSE</v>
      </c>
      <c r="M347" t="s">
        <v>739</v>
      </c>
      <c r="N347" s="13" t="s">
        <v>383</v>
      </c>
    </row>
    <row r="348" spans="1:14">
      <c r="A348" t="s">
        <v>740</v>
      </c>
      <c r="B348" s="13" t="s">
        <v>384</v>
      </c>
      <c r="C348" t="b">
        <f ca="1">OR(AND(ISNUMBER(SEARCH(B347,I2)),H2&gt;G2),(AND(ISNUMBER(SEARCH(B348,I2)),H2&lt;G2)))</f>
        <v>0</v>
      </c>
      <c r="F348" t="str">
        <f ca="1">IF(ISNA(VLOOKUP(B348,J3:J9,1,FALSE)), "FALSE", "TRUE")</f>
        <v>FALSE</v>
      </c>
      <c r="M348" t="s">
        <v>740</v>
      </c>
      <c r="N348" s="13" t="s">
        <v>384</v>
      </c>
    </row>
    <row r="349" spans="1:14">
      <c r="A349" t="s">
        <v>741</v>
      </c>
      <c r="B349" s="13" t="s">
        <v>385</v>
      </c>
      <c r="C349" t="b">
        <f ca="1">OR(AND(ISNUMBER(SEARCH(B348,I2)),H2&gt;G2),(AND(ISNUMBER(SEARCH(B349,I2)),H2&lt;G2)))</f>
        <v>0</v>
      </c>
      <c r="F349" t="str">
        <f ca="1">IF(ISNA(VLOOKUP(B349,J3:J9,1,FALSE)), "FALSE", "TRUE")</f>
        <v>FALSE</v>
      </c>
      <c r="M349" t="s">
        <v>741</v>
      </c>
      <c r="N349" s="13" t="s">
        <v>385</v>
      </c>
    </row>
    <row r="350" spans="1:14">
      <c r="A350" t="s">
        <v>742</v>
      </c>
      <c r="B350" s="13" t="s">
        <v>386</v>
      </c>
      <c r="C350" t="b">
        <f ca="1">OR(AND(ISNUMBER(SEARCH(B349,I2)),H2&gt;G2),(AND(ISNUMBER(SEARCH(B350,I2)),H2&lt;G2)))</f>
        <v>0</v>
      </c>
      <c r="F350" t="str">
        <f ca="1">IF(ISNA(VLOOKUP(B350,J3:J9,1,FALSE)), "FALSE", "TRUE")</f>
        <v>FALSE</v>
      </c>
      <c r="M350" t="s">
        <v>742</v>
      </c>
      <c r="N350" s="13" t="s">
        <v>386</v>
      </c>
    </row>
    <row r="351" spans="1:14">
      <c r="A351" t="s">
        <v>743</v>
      </c>
      <c r="B351" s="13" t="s">
        <v>387</v>
      </c>
      <c r="C351" t="b">
        <f ca="1">OR(AND(ISNUMBER(SEARCH(B350,I2)),H2&gt;G2),(AND(ISNUMBER(SEARCH(B351,I2)),H2&lt;G2)))</f>
        <v>0</v>
      </c>
      <c r="F351" t="str">
        <f ca="1">IF(ISNA(VLOOKUP(B351,J3:J9,1,FALSE)), "FALSE", "TRUE")</f>
        <v>FALSE</v>
      </c>
      <c r="M351" t="s">
        <v>743</v>
      </c>
      <c r="N351" s="13" t="s">
        <v>387</v>
      </c>
    </row>
    <row r="352" spans="1:14">
      <c r="A352" t="s">
        <v>744</v>
      </c>
      <c r="B352" s="13" t="s">
        <v>388</v>
      </c>
      <c r="C352" t="b">
        <f ca="1">OR(AND(ISNUMBER(SEARCH(B351,I2)),H2&gt;G2),(AND(ISNUMBER(SEARCH(B352,I2)),H2&lt;G2)))</f>
        <v>0</v>
      </c>
      <c r="F352" t="str">
        <f ca="1">IF(ISNA(VLOOKUP(B352,J3:J9,1,FALSE)), "FALSE", "TRUE")</f>
        <v>FALSE</v>
      </c>
      <c r="M352" t="s">
        <v>744</v>
      </c>
      <c r="N352" s="13" t="s">
        <v>388</v>
      </c>
    </row>
    <row r="353" spans="1:14">
      <c r="A353" t="s">
        <v>745</v>
      </c>
      <c r="B353" s="13" t="s">
        <v>389</v>
      </c>
      <c r="C353" t="b">
        <f ca="1">OR(AND(ISNUMBER(SEARCH(B352,I2)),H2&gt;G2),(AND(ISNUMBER(SEARCH(B353,I2)),H2&lt;G2)))</f>
        <v>0</v>
      </c>
      <c r="F353" t="str">
        <f ca="1">IF(ISNA(VLOOKUP(B353,J3:J9,1,FALSE)), "FALSE", "TRUE")</f>
        <v>FALSE</v>
      </c>
      <c r="M353" t="s">
        <v>745</v>
      </c>
      <c r="N353" s="13" t="s">
        <v>389</v>
      </c>
    </row>
    <row r="354" spans="1:14">
      <c r="A354" t="s">
        <v>746</v>
      </c>
      <c r="B354" s="13" t="s">
        <v>390</v>
      </c>
      <c r="C354" t="b">
        <f ca="1">OR(AND(ISNUMBER(SEARCH(B353,I2)),H2&gt;G2),(AND(ISNUMBER(SEARCH(B354,I2)),H2&lt;G2)))</f>
        <v>0</v>
      </c>
      <c r="F354" t="str">
        <f ca="1">IF(ISNA(VLOOKUP(B354,J3:J9,1,FALSE)), "FALSE", "TRUE")</f>
        <v>FALSE</v>
      </c>
      <c r="M354" t="s">
        <v>746</v>
      </c>
      <c r="N354" s="13" t="s">
        <v>390</v>
      </c>
    </row>
    <row r="355" spans="1:14">
      <c r="A355" t="s">
        <v>747</v>
      </c>
      <c r="B355" s="13" t="s">
        <v>391</v>
      </c>
      <c r="C355" t="b">
        <f ca="1">OR(AND(ISNUMBER(SEARCH(B354,I2)),H2&gt;G2),(AND(ISNUMBER(SEARCH(B355,I2)),H2&lt;G2)))</f>
        <v>0</v>
      </c>
      <c r="F355" t="str">
        <f ca="1">IF(ISNA(VLOOKUP(B355,J3:J9,1,FALSE)), "FALSE", "TRUE")</f>
        <v>FALSE</v>
      </c>
      <c r="M355" t="s">
        <v>747</v>
      </c>
      <c r="N355" s="13" t="s">
        <v>391</v>
      </c>
    </row>
    <row r="356" spans="1:14">
      <c r="A356" t="s">
        <v>748</v>
      </c>
      <c r="B356" s="13" t="s">
        <v>392</v>
      </c>
      <c r="C356" t="b">
        <f ca="1">OR(AND(ISNUMBER(SEARCH(B355,I2)),H2&gt;G2),(AND(ISNUMBER(SEARCH(B356,I2)),H2&lt;G2)))</f>
        <v>0</v>
      </c>
      <c r="F356" t="str">
        <f ca="1">IF(ISNA(VLOOKUP(B356,J3:J9,1,FALSE)), "FALSE", "TRUE")</f>
        <v>FALSE</v>
      </c>
      <c r="M356" t="s">
        <v>748</v>
      </c>
      <c r="N356" s="13" t="s">
        <v>392</v>
      </c>
    </row>
    <row r="357" spans="1:14">
      <c r="A357" t="s">
        <v>749</v>
      </c>
      <c r="B357" s="13" t="s">
        <v>393</v>
      </c>
      <c r="C357" t="b">
        <f ca="1">OR(AND(ISNUMBER(SEARCH(B356,I2)),H2&gt;G2),(AND(ISNUMBER(SEARCH(B357,I2)),H2&lt;G2)))</f>
        <v>0</v>
      </c>
      <c r="F357" t="str">
        <f ca="1">IF(ISNA(VLOOKUP(B357,J3:J9,1,FALSE)), "FALSE", "TRUE")</f>
        <v>FALSE</v>
      </c>
      <c r="M357" t="s">
        <v>749</v>
      </c>
      <c r="N357" s="13" t="s">
        <v>393</v>
      </c>
    </row>
    <row r="358" spans="1:14">
      <c r="A358" t="s">
        <v>750</v>
      </c>
      <c r="B358" s="13" t="s">
        <v>394</v>
      </c>
      <c r="C358" t="b">
        <f ca="1">OR(AND(ISNUMBER(SEARCH(B357,I2)),H2&gt;G2),(AND(ISNUMBER(SEARCH(B358,I2)),H2&lt;G2)))</f>
        <v>0</v>
      </c>
      <c r="F358" t="str">
        <f ca="1">IF(ISNA(VLOOKUP(B358,J3:J9,1,FALSE)), "FALSE", "TRUE")</f>
        <v>FALSE</v>
      </c>
      <c r="M358" t="s">
        <v>750</v>
      </c>
      <c r="N358" s="13" t="s">
        <v>394</v>
      </c>
    </row>
    <row r="359" spans="1:14">
      <c r="A359" t="s">
        <v>751</v>
      </c>
      <c r="B359" s="13" t="s">
        <v>395</v>
      </c>
      <c r="C359" t="b">
        <f ca="1">OR(AND(ISNUMBER(SEARCH(B358,I2)),H2&gt;G2),(AND(ISNUMBER(SEARCH(B359,I2)),H2&lt;G2)))</f>
        <v>0</v>
      </c>
      <c r="F359" t="str">
        <f ca="1">IF(ISNA(VLOOKUP(B359,J3:J9,1,FALSE)), "FALSE", "TRUE")</f>
        <v>FALSE</v>
      </c>
      <c r="M359" t="s">
        <v>751</v>
      </c>
      <c r="N359" s="13" t="s">
        <v>395</v>
      </c>
    </row>
    <row r="360" spans="1:14">
      <c r="A360" t="s">
        <v>752</v>
      </c>
      <c r="B360" s="13" t="s">
        <v>396</v>
      </c>
      <c r="C360" t="b">
        <f ca="1">OR(AND(ISNUMBER(SEARCH(B359,I2)),H2&gt;G2),(AND(ISNUMBER(SEARCH(B360,I2)),H2&lt;G2)))</f>
        <v>0</v>
      </c>
      <c r="F360" t="str">
        <f ca="1">IF(ISNA(VLOOKUP(B360,J3:J9,1,FALSE)), "FALSE", "TRUE")</f>
        <v>FALSE</v>
      </c>
      <c r="M360" t="s">
        <v>752</v>
      </c>
      <c r="N360" s="13" t="s">
        <v>396</v>
      </c>
    </row>
    <row r="361" spans="1:14">
      <c r="A361" t="s">
        <v>753</v>
      </c>
      <c r="B361" s="13" t="s">
        <v>397</v>
      </c>
      <c r="C361" t="b">
        <f ca="1">OR(AND(ISNUMBER(SEARCH(B360,I2)),H2&gt;G2),(AND(ISNUMBER(SEARCH(B361,I2)),H2&lt;G2)))</f>
        <v>0</v>
      </c>
      <c r="F361" t="str">
        <f ca="1">IF(ISNA(VLOOKUP(B361,J3:J9,1,FALSE)), "FALSE", "TRUE")</f>
        <v>FALSE</v>
      </c>
      <c r="M361" t="s">
        <v>753</v>
      </c>
      <c r="N361" s="13" t="s">
        <v>397</v>
      </c>
    </row>
    <row r="362" spans="1:14">
      <c r="A362" t="s">
        <v>754</v>
      </c>
      <c r="B362" s="13" t="s">
        <v>398</v>
      </c>
      <c r="C362" t="b">
        <f ca="1">OR(AND(ISNUMBER(SEARCH(B361,I2)),H2&gt;G2),(AND(ISNUMBER(SEARCH(B362,I2)),H2&lt;G2)))</f>
        <v>0</v>
      </c>
      <c r="F362" t="str">
        <f ca="1">IF(ISNA(VLOOKUP(B362,J3:J9,1,FALSE)), "FALSE", "TRUE")</f>
        <v>FALSE</v>
      </c>
      <c r="M362" t="s">
        <v>754</v>
      </c>
      <c r="N362" s="13" t="s">
        <v>398</v>
      </c>
    </row>
    <row r="363" spans="1:14">
      <c r="A363" t="s">
        <v>755</v>
      </c>
      <c r="B363" s="13" t="s">
        <v>399</v>
      </c>
      <c r="C363" t="b">
        <f ca="1">OR(AND(ISNUMBER(SEARCH(B362,I2)),H2&gt;G2),(AND(ISNUMBER(SEARCH(B363,I2)),H2&lt;G2)))</f>
        <v>0</v>
      </c>
      <c r="F363" t="str">
        <f ca="1">IF(ISNA(VLOOKUP(B363,J3:J9,1,FALSE)), "FALSE", "TRUE")</f>
        <v>FALSE</v>
      </c>
      <c r="M363" t="s">
        <v>755</v>
      </c>
      <c r="N363" s="13" t="s">
        <v>399</v>
      </c>
    </row>
    <row r="364" spans="1:14">
      <c r="A364" t="s">
        <v>756</v>
      </c>
      <c r="B364" s="13" t="s">
        <v>400</v>
      </c>
      <c r="C364" t="b">
        <f ca="1">OR(AND(ISNUMBER(SEARCH(B363,I2)),H2&gt;G2),(AND(ISNUMBER(SEARCH(B364,I2)),H2&lt;G2)))</f>
        <v>0</v>
      </c>
      <c r="F364" t="str">
        <f ca="1">IF(ISNA(VLOOKUP(B364,J3:J9,1,FALSE)), "FALSE", "TRUE")</f>
        <v>FALSE</v>
      </c>
      <c r="M364" t="s">
        <v>756</v>
      </c>
      <c r="N364" s="13" t="s">
        <v>400</v>
      </c>
    </row>
    <row r="365" spans="1:14">
      <c r="A365" t="s">
        <v>757</v>
      </c>
      <c r="B365" s="13" t="s">
        <v>401</v>
      </c>
      <c r="C365" t="b">
        <f ca="1">OR(AND(ISNUMBER(SEARCH(B364,I2)),H2&gt;G2),(AND(ISNUMBER(SEARCH(B365,I2)),H2&lt;G2)))</f>
        <v>0</v>
      </c>
      <c r="F365" t="str">
        <f ca="1">IF(ISNA(VLOOKUP(B365,J3:J9,1,FALSE)), "FALSE", "TRUE")</f>
        <v>FALSE</v>
      </c>
      <c r="M365" t="s">
        <v>757</v>
      </c>
      <c r="N365" s="13" t="s">
        <v>401</v>
      </c>
    </row>
    <row r="366" spans="1:14">
      <c r="A366" t="s">
        <v>758</v>
      </c>
      <c r="B366" s="13" t="s">
        <v>402</v>
      </c>
      <c r="C366" t="b">
        <f ca="1">OR(AND(ISNUMBER(SEARCH(B365,I2)),H2&gt;G2),(AND(ISNUMBER(SEARCH(B366,I2)),H2&lt;G2)))</f>
        <v>0</v>
      </c>
      <c r="F366" t="str">
        <f ca="1">IF(ISNA(VLOOKUP(B366,J3:J9,1,FALSE)), "FALSE", "TRUE")</f>
        <v>FALSE</v>
      </c>
      <c r="M366" t="s">
        <v>758</v>
      </c>
      <c r="N366" s="13" t="s">
        <v>402</v>
      </c>
    </row>
    <row r="367" spans="1:14">
      <c r="A367" t="s">
        <v>759</v>
      </c>
      <c r="B367" s="13" t="s">
        <v>403</v>
      </c>
      <c r="C367" t="b">
        <f ca="1">OR(AND(ISNUMBER(SEARCH(B366,I2)),H2&gt;G2),(AND(ISNUMBER(SEARCH(B367,I2)),H2&lt;G2)))</f>
        <v>0</v>
      </c>
      <c r="F367" t="str">
        <f ca="1">IF(ISNA(VLOOKUP(B367,J3:J9,1,FALSE)), "FALSE", "TRUE")</f>
        <v>FALSE</v>
      </c>
      <c r="M367" t="s">
        <v>759</v>
      </c>
      <c r="N367" s="13" t="s">
        <v>403</v>
      </c>
    </row>
    <row r="368" spans="1:14">
      <c r="A368" t="s">
        <v>760</v>
      </c>
      <c r="B368" s="13" t="s">
        <v>404</v>
      </c>
      <c r="C368" t="b">
        <f ca="1">OR(AND(ISNUMBER(SEARCH(B367,I2)),H2&gt;G2),(AND(ISNUMBER(SEARCH(B368,I2)),H2&lt;G2)))</f>
        <v>0</v>
      </c>
      <c r="F368" t="str">
        <f ca="1">IF(ISNA(VLOOKUP(B368,J3:J9,1,FALSE)), "FALSE", "TRUE")</f>
        <v>FALSE</v>
      </c>
      <c r="M368" t="s">
        <v>760</v>
      </c>
      <c r="N368" s="13" t="s">
        <v>404</v>
      </c>
    </row>
    <row r="369" spans="1:14">
      <c r="A369" t="s">
        <v>761</v>
      </c>
      <c r="B369" s="13" t="s">
        <v>405</v>
      </c>
      <c r="C369" t="b">
        <f ca="1">OR(AND(ISNUMBER(SEARCH(B368,I2)),H2&gt;G2),(AND(ISNUMBER(SEARCH(B369,I2)),H2&lt;G2)))</f>
        <v>0</v>
      </c>
      <c r="D369" s="13"/>
      <c r="F369" t="str">
        <f ca="1">IF(ISNA(VLOOKUP(B369,J3:J9,1,FALSE)), "FALSE", "TRUE")</f>
        <v>FALSE</v>
      </c>
      <c r="K369" s="13" t="s">
        <v>849</v>
      </c>
      <c r="M369" t="s">
        <v>761</v>
      </c>
      <c r="N369" s="13" t="s">
        <v>405</v>
      </c>
    </row>
    <row r="370" spans="1:14">
      <c r="A370" t="s">
        <v>762</v>
      </c>
      <c r="B370" s="13" t="s">
        <v>406</v>
      </c>
      <c r="C370" t="b">
        <f ca="1">OR(AND(ISNUMBER(SEARCH(B369,I2)),H2&gt;G2),(AND(ISNUMBER(SEARCH(B370,I2)),H2&lt;G2)))</f>
        <v>0</v>
      </c>
      <c r="D370" s="13"/>
      <c r="F370" t="str">
        <f ca="1">IF(ISNA(VLOOKUP(B370,J3:J9,1,FALSE)), "FALSE", "TRUE")</f>
        <v>FALSE</v>
      </c>
      <c r="K370" s="13" t="s">
        <v>848</v>
      </c>
      <c r="M370" t="s">
        <v>762</v>
      </c>
      <c r="N370" s="13" t="s">
        <v>406</v>
      </c>
    </row>
    <row r="371" spans="1:14">
      <c r="A371" t="s">
        <v>763</v>
      </c>
      <c r="B371" s="13" t="s">
        <v>407</v>
      </c>
      <c r="C371" t="b">
        <f ca="1">OR(AND(ISNUMBER(SEARCH(B370,I2)),H2&gt;G2),(AND(ISNUMBER(SEARCH(B371,I2)),H2&lt;G2)))</f>
        <v>0</v>
      </c>
      <c r="F371" t="str">
        <f ca="1">IF(ISNA(VLOOKUP(B371,J3:J9,1,FALSE)), "FALSE", "TRUE")</f>
        <v>FALSE</v>
      </c>
      <c r="M371" t="s">
        <v>763</v>
      </c>
      <c r="N371" s="13" t="s">
        <v>407</v>
      </c>
    </row>
    <row r="372" spans="1:14">
      <c r="A372" t="s">
        <v>764</v>
      </c>
      <c r="B372" s="13" t="s">
        <v>408</v>
      </c>
      <c r="C372" t="b">
        <f ca="1">OR(AND(ISNUMBER(SEARCH(B371,I2)),H2&gt;G2),(AND(ISNUMBER(SEARCH(B372,I2)),H2&lt;G2)))</f>
        <v>0</v>
      </c>
      <c r="F372" t="str">
        <f ca="1">IF(ISNA(VLOOKUP(B372,J3:J9,1,FALSE)), "FALSE", "TRUE")</f>
        <v>FALSE</v>
      </c>
      <c r="M372" t="s">
        <v>764</v>
      </c>
      <c r="N372" s="13" t="s">
        <v>408</v>
      </c>
    </row>
    <row r="373" spans="1:14">
      <c r="A373" t="s">
        <v>765</v>
      </c>
      <c r="B373" s="13" t="s">
        <v>409</v>
      </c>
      <c r="C373" t="b">
        <f ca="1">OR(AND(ISNUMBER(SEARCH(B372,I2)),H2&gt;G2),(AND(ISNUMBER(SEARCH(B373,I2)),H2&lt;G2)))</f>
        <v>0</v>
      </c>
      <c r="F373" t="str">
        <f ca="1">IF(ISNA(VLOOKUP(B373,J3:J9,1,FALSE)), "FALSE", "TRUE")</f>
        <v>FALSE</v>
      </c>
      <c r="M373" t="s">
        <v>765</v>
      </c>
      <c r="N373" s="13" t="s">
        <v>409</v>
      </c>
    </row>
    <row r="374" spans="1:14">
      <c r="A374" t="s">
        <v>766</v>
      </c>
      <c r="B374" s="13" t="s">
        <v>410</v>
      </c>
      <c r="C374" t="b">
        <f ca="1">OR(AND(ISNUMBER(SEARCH(B373,I2)),H2&gt;G2),(AND(ISNUMBER(SEARCH(B374,I2)),H2&lt;G2)))</f>
        <v>0</v>
      </c>
      <c r="F374" t="str">
        <f ca="1">IF(ISNA(VLOOKUP(B374,J3:J9,1,FALSE)), "FALSE", "TRUE")</f>
        <v>FALSE</v>
      </c>
      <c r="M374" t="s">
        <v>766</v>
      </c>
      <c r="N374" s="13" t="s">
        <v>410</v>
      </c>
    </row>
    <row r="375" spans="1:14">
      <c r="A375" t="s">
        <v>767</v>
      </c>
      <c r="B375" s="13" t="s">
        <v>411</v>
      </c>
      <c r="C375" t="b">
        <f ca="1">OR(AND(ISNUMBER(SEARCH(B374,I2)),H2&gt;G2),(AND(ISNUMBER(SEARCH(B375,I2)),H2&lt;G2)))</f>
        <v>0</v>
      </c>
      <c r="F375" t="str">
        <f ca="1">IF(ISNA(VLOOKUP(B375,J3:J9,1,FALSE)), "FALSE", "TRUE")</f>
        <v>FALSE</v>
      </c>
      <c r="M375" t="s">
        <v>767</v>
      </c>
      <c r="N375" s="13" t="s">
        <v>411</v>
      </c>
    </row>
    <row r="376" spans="1:14">
      <c r="A376" t="s">
        <v>768</v>
      </c>
      <c r="B376" s="13" t="s">
        <v>412</v>
      </c>
      <c r="C376" t="b">
        <f ca="1">OR(AND(ISNUMBER(SEARCH(B375,I2)),H2&gt;G2),(AND(ISNUMBER(SEARCH(B376,I2)),H2&lt;G2)))</f>
        <v>0</v>
      </c>
      <c r="D376" s="13" t="s">
        <v>861</v>
      </c>
      <c r="F376" t="str">
        <f ca="1">IF(ISNA(VLOOKUP(B376,J3:J9,1,FALSE)), "FALSE", "TRUE")</f>
        <v>FALSE</v>
      </c>
      <c r="K376" s="13" t="s">
        <v>847</v>
      </c>
      <c r="M376" t="s">
        <v>768</v>
      </c>
      <c r="N376" s="13" t="s">
        <v>412</v>
      </c>
    </row>
    <row r="377" spans="1:14">
      <c r="A377" t="s">
        <v>769</v>
      </c>
      <c r="B377" s="13" t="s">
        <v>413</v>
      </c>
      <c r="C377" t="b">
        <f ca="1">OR(AND(ISNUMBER(SEARCH(B376,I2)),H2&gt;G2),(AND(ISNUMBER(SEARCH(B377,I2)),H2&lt;G2)))</f>
        <v>0</v>
      </c>
      <c r="F377" t="str">
        <f ca="1">IF(ISNA(VLOOKUP(B377,J3:J9,1,FALSE)), "FALSE", "TRUE")</f>
        <v>FALSE</v>
      </c>
      <c r="M377" t="s">
        <v>769</v>
      </c>
      <c r="N377" s="13" t="s">
        <v>413</v>
      </c>
    </row>
    <row r="378" spans="1:14">
      <c r="A378" t="s">
        <v>770</v>
      </c>
      <c r="B378" s="13" t="s">
        <v>414</v>
      </c>
      <c r="C378" t="b">
        <f ca="1">OR(AND(ISNUMBER(SEARCH(B377,I2)),H2&gt;G2),(AND(ISNUMBER(SEARCH(B378,I2)),H2&lt;G2)))</f>
        <v>0</v>
      </c>
      <c r="F378" t="str">
        <f ca="1">IF(ISNA(VLOOKUP(B378,J3:J9,1,FALSE)), "FALSE", "TRUE")</f>
        <v>FALSE</v>
      </c>
      <c r="M378" t="s">
        <v>770</v>
      </c>
      <c r="N378" s="13" t="s">
        <v>414</v>
      </c>
    </row>
    <row r="379" spans="1:14">
      <c r="A379" t="s">
        <v>771</v>
      </c>
      <c r="B379" s="13" t="s">
        <v>415</v>
      </c>
      <c r="C379" t="b">
        <f ca="1">OR(AND(ISNUMBER(SEARCH(B378,I2)),H2&gt;G2),(AND(ISNUMBER(SEARCH(B379,I2)),H2&lt;G2)))</f>
        <v>0</v>
      </c>
      <c r="F379" t="str">
        <f ca="1">IF(ISNA(VLOOKUP(B379,J3:J9,1,FALSE)), "FALSE", "TRUE")</f>
        <v>FALSE</v>
      </c>
      <c r="M379" t="s">
        <v>771</v>
      </c>
      <c r="N379" s="13" t="s">
        <v>415</v>
      </c>
    </row>
    <row r="380" spans="1:14">
      <c r="A380" t="s">
        <v>772</v>
      </c>
      <c r="B380" s="13" t="s">
        <v>416</v>
      </c>
      <c r="C380" t="b">
        <f ca="1">OR(AND(ISNUMBER(SEARCH(B379,I2)),H2&gt;G2),(AND(ISNUMBER(SEARCH(B380,I2)),H2&lt;G2)))</f>
        <v>0</v>
      </c>
      <c r="F380" t="str">
        <f ca="1">IF(ISNA(VLOOKUP(B380,J3:J9,1,FALSE)), "FALSE", "TRUE")</f>
        <v>FALSE</v>
      </c>
      <c r="M380" t="s">
        <v>772</v>
      </c>
      <c r="N380" s="13" t="s">
        <v>416</v>
      </c>
    </row>
    <row r="381" spans="1:14">
      <c r="A381" t="s">
        <v>773</v>
      </c>
      <c r="B381" s="13" t="s">
        <v>417</v>
      </c>
      <c r="C381" t="b">
        <f ca="1">OR(AND(ISNUMBER(SEARCH(B380,I2)),H2&gt;G2),(AND(ISNUMBER(SEARCH(B381,I2)),H2&lt;G2)))</f>
        <v>0</v>
      </c>
      <c r="F381" t="str">
        <f ca="1">IF(ISNA(VLOOKUP(B381,J3:J9,1,FALSE)), "FALSE", "TRUE")</f>
        <v>FALSE</v>
      </c>
      <c r="M381" t="s">
        <v>773</v>
      </c>
      <c r="N381" s="13" t="s">
        <v>417</v>
      </c>
    </row>
    <row r="382" spans="1:14">
      <c r="A382" t="s">
        <v>774</v>
      </c>
      <c r="B382" s="13" t="s">
        <v>418</v>
      </c>
      <c r="C382" t="b">
        <f ca="1">OR(AND(ISNUMBER(SEARCH(B381,I2)),H2&gt;G2),(AND(ISNUMBER(SEARCH(B382,I2)),H2&lt;G2)))</f>
        <v>0</v>
      </c>
      <c r="F382" t="str">
        <f ca="1">IF(ISNA(VLOOKUP(B382,J3:J9,1,FALSE)), "FALSE", "TRUE")</f>
        <v>FALSE</v>
      </c>
      <c r="M382" t="s">
        <v>774</v>
      </c>
      <c r="N382" s="13" t="s">
        <v>418</v>
      </c>
    </row>
    <row r="383" spans="1:14">
      <c r="A383" t="s">
        <v>775</v>
      </c>
      <c r="B383" s="13" t="s">
        <v>419</v>
      </c>
      <c r="C383" t="b">
        <f ca="1">OR(AND(ISNUMBER(SEARCH(B382,I2)),H2&gt;G2),(AND(ISNUMBER(SEARCH(B383,I2)),H2&lt;G2)))</f>
        <v>0</v>
      </c>
      <c r="F383" t="str">
        <f ca="1">IF(ISNA(VLOOKUP(B383,J3:J9,1,FALSE)), "FALSE", "TRUE")</f>
        <v>FALSE</v>
      </c>
      <c r="M383" t="s">
        <v>775</v>
      </c>
      <c r="N383" s="13" t="s">
        <v>419</v>
      </c>
    </row>
    <row r="384" spans="1:14">
      <c r="A384" t="s">
        <v>776</v>
      </c>
      <c r="B384" s="13" t="s">
        <v>420</v>
      </c>
      <c r="C384" t="b">
        <f ca="1">OR(AND(ISNUMBER(SEARCH(B383,I2)),H2&gt;G2),(AND(ISNUMBER(SEARCH(B384,I2)),H2&lt;G2)))</f>
        <v>0</v>
      </c>
      <c r="F384" t="str">
        <f ca="1">IF(ISNA(VLOOKUP(B384,J3:J9,1,FALSE)), "FALSE", "TRUE")</f>
        <v>FALSE</v>
      </c>
      <c r="M384" t="s">
        <v>776</v>
      </c>
      <c r="N384" s="13" t="s">
        <v>420</v>
      </c>
    </row>
    <row r="385" spans="1:14">
      <c r="A385" t="s">
        <v>777</v>
      </c>
      <c r="B385" s="13" t="s">
        <v>421</v>
      </c>
      <c r="C385" t="b">
        <f ca="1">OR(AND(ISNUMBER(SEARCH(B384,I2)),H2&gt;G2),(AND(ISNUMBER(SEARCH(B385,I2)),H2&lt;G2)))</f>
        <v>0</v>
      </c>
      <c r="F385" t="str">
        <f ca="1">IF(ISNA(VLOOKUP(B385,J3:J9,1,FALSE)), "FALSE", "TRUE")</f>
        <v>FALSE</v>
      </c>
      <c r="M385" t="s">
        <v>777</v>
      </c>
      <c r="N385" s="13" t="s">
        <v>421</v>
      </c>
    </row>
    <row r="386" spans="1:14">
      <c r="A386" t="s">
        <v>778</v>
      </c>
      <c r="B386" s="13" t="s">
        <v>422</v>
      </c>
      <c r="C386" t="b">
        <f ca="1">OR(AND(ISNUMBER(SEARCH(B385,I2)),H2&gt;G2),(AND(ISNUMBER(SEARCH(B386,I2)),H2&lt;G2)))</f>
        <v>0</v>
      </c>
      <c r="F386" t="str">
        <f ca="1">IF(ISNA(VLOOKUP(B386,J3:J9,1,FALSE)), "FALSE", "TRUE")</f>
        <v>FALSE</v>
      </c>
      <c r="M386" t="s">
        <v>778</v>
      </c>
      <c r="N386" s="13" t="s">
        <v>422</v>
      </c>
    </row>
    <row r="387" spans="1:14">
      <c r="A387" t="s">
        <v>779</v>
      </c>
      <c r="B387" s="13" t="s">
        <v>423</v>
      </c>
      <c r="C387" t="b">
        <f ca="1">OR(AND(ISNUMBER(SEARCH(B386,I2)),H2&gt;G2),(AND(ISNUMBER(SEARCH(B387,I2)),H2&lt;G2)))</f>
        <v>0</v>
      </c>
      <c r="F387" t="str">
        <f ca="1">IF(ISNA(VLOOKUP(B387,J3:J9,1,FALSE)), "FALSE", "TRUE")</f>
        <v>FALSE</v>
      </c>
      <c r="M387" t="s">
        <v>779</v>
      </c>
      <c r="N387" s="13" t="s">
        <v>423</v>
      </c>
    </row>
    <row r="388" spans="1:14">
      <c r="A388" t="s">
        <v>780</v>
      </c>
      <c r="B388" s="13" t="s">
        <v>424</v>
      </c>
      <c r="C388" t="b">
        <f ca="1">OR(AND(ISNUMBER(SEARCH(B387,I2)),H2&gt;G2),(AND(ISNUMBER(SEARCH(B388,I2)),H2&lt;G2)))</f>
        <v>0</v>
      </c>
      <c r="F388" t="str">
        <f ca="1">IF(ISNA(VLOOKUP(B388,J3:J9,1,FALSE)), "FALSE", "TRUE")</f>
        <v>FALSE</v>
      </c>
      <c r="M388" t="s">
        <v>780</v>
      </c>
      <c r="N388" s="13" t="s">
        <v>424</v>
      </c>
    </row>
    <row r="389" spans="1:14">
      <c r="A389" t="s">
        <v>781</v>
      </c>
      <c r="B389" s="13" t="s">
        <v>425</v>
      </c>
      <c r="C389" t="b">
        <f ca="1">OR(AND(ISNUMBER(SEARCH(B388,I2)),H2&gt;G2),(AND(ISNUMBER(SEARCH(B389,I2)),H2&lt;G2)))</f>
        <v>0</v>
      </c>
      <c r="F389" t="str">
        <f ca="1">IF(ISNA(VLOOKUP(B389,J3:J9,1,FALSE)), "FALSE", "TRUE")</f>
        <v>FALSE</v>
      </c>
      <c r="M389" t="s">
        <v>781</v>
      </c>
      <c r="N389" s="13" t="s">
        <v>425</v>
      </c>
    </row>
    <row r="390" spans="1:14">
      <c r="A390" t="s">
        <v>782</v>
      </c>
      <c r="B390" s="13" t="s">
        <v>426</v>
      </c>
      <c r="C390" t="b">
        <f ca="1">OR(AND(ISNUMBER(SEARCH(B389,I2)),H2&gt;G2),(AND(ISNUMBER(SEARCH(B390,I2)),H2&lt;G2)))</f>
        <v>0</v>
      </c>
      <c r="F390" t="str">
        <f ca="1">IF(ISNA(VLOOKUP(B390,J3:J9,1,FALSE)), "FALSE", "TRUE")</f>
        <v>FALSE</v>
      </c>
      <c r="M390" t="s">
        <v>782</v>
      </c>
      <c r="N390" s="13" t="s">
        <v>426</v>
      </c>
    </row>
    <row r="391" spans="1:14">
      <c r="A391" t="s">
        <v>783</v>
      </c>
      <c r="B391" s="13" t="s">
        <v>427</v>
      </c>
      <c r="C391" t="b">
        <f ca="1">OR(AND(ISNUMBER(SEARCH(B390,I2)),H2&gt;G2),(AND(ISNUMBER(SEARCH(B391,I2)),H2&lt;G2)))</f>
        <v>0</v>
      </c>
      <c r="F391" t="str">
        <f ca="1">IF(ISNA(VLOOKUP(B391,J3:J9,1,FALSE)), "FALSE", "TRUE")</f>
        <v>FALSE</v>
      </c>
      <c r="M391" t="s">
        <v>783</v>
      </c>
      <c r="N391" s="13" t="s">
        <v>427</v>
      </c>
    </row>
    <row r="392" spans="1:14">
      <c r="A392" t="s">
        <v>784</v>
      </c>
      <c r="B392" s="13" t="s">
        <v>428</v>
      </c>
      <c r="C392" t="b">
        <f ca="1">OR(AND(ISNUMBER(SEARCH(B391,I2)),H2&gt;G2),(AND(ISNUMBER(SEARCH(B392,I2)),H2&lt;G2)))</f>
        <v>0</v>
      </c>
      <c r="F392" t="str">
        <f ca="1">IF(ISNA(VLOOKUP(B392,J3:J9,1,FALSE)), "FALSE", "TRUE")</f>
        <v>FALSE</v>
      </c>
      <c r="M392" t="s">
        <v>784</v>
      </c>
      <c r="N392" s="13" t="s">
        <v>428</v>
      </c>
    </row>
    <row r="393" spans="1:14">
      <c r="A393" t="s">
        <v>785</v>
      </c>
      <c r="B393" s="13" t="s">
        <v>429</v>
      </c>
      <c r="C393" t="b">
        <f ca="1">OR(AND(ISNUMBER(SEARCH(B392,I2)),H2&gt;G2),(AND(ISNUMBER(SEARCH(B393,I2)),H2&lt;G2)))</f>
        <v>0</v>
      </c>
      <c r="F393" t="str">
        <f ca="1">IF(ISNA(VLOOKUP(B393,J3:J9,1,FALSE)), "FALSE", "TRUE")</f>
        <v>FALSE</v>
      </c>
      <c r="M393" t="s">
        <v>785</v>
      </c>
      <c r="N393" s="13" t="s">
        <v>429</v>
      </c>
    </row>
    <row r="394" spans="1:14">
      <c r="A394" t="s">
        <v>786</v>
      </c>
      <c r="B394" s="13" t="s">
        <v>430</v>
      </c>
      <c r="C394" t="b">
        <f ca="1">OR(AND(ISNUMBER(SEARCH(B393,I2)),H2&gt;G2),(AND(ISNUMBER(SEARCH(B394,I2)),H2&lt;G2)))</f>
        <v>0</v>
      </c>
      <c r="F394" t="str">
        <f ca="1">IF(ISNA(VLOOKUP(B394,J3:J9,1,FALSE)), "FALSE", "TRUE")</f>
        <v>FALSE</v>
      </c>
      <c r="M394" t="s">
        <v>786</v>
      </c>
      <c r="N394" s="13" t="s">
        <v>430</v>
      </c>
    </row>
    <row r="395" spans="1:14">
      <c r="A395" t="s">
        <v>787</v>
      </c>
      <c r="B395" s="13" t="s">
        <v>431</v>
      </c>
      <c r="C395" t="b">
        <f ca="1">OR(AND(ISNUMBER(SEARCH(B394,I2)),H2&gt;G2),(AND(ISNUMBER(SEARCH(B395,I2)),H2&lt;G2)))</f>
        <v>0</v>
      </c>
      <c r="F395" t="str">
        <f ca="1">IF(ISNA(VLOOKUP(B395,J3:J9,1,FALSE)), "FALSE", "TRUE")</f>
        <v>FALSE</v>
      </c>
      <c r="M395" t="s">
        <v>787</v>
      </c>
      <c r="N395" s="13" t="s">
        <v>431</v>
      </c>
    </row>
    <row r="396" spans="1:14">
      <c r="A396" t="s">
        <v>788</v>
      </c>
      <c r="B396" s="13" t="s">
        <v>432</v>
      </c>
      <c r="C396" t="b">
        <f ca="1">OR(AND(ISNUMBER(SEARCH(B395,I2)),H2&gt;G2),(AND(ISNUMBER(SEARCH(B396,I2)),H2&lt;G2)))</f>
        <v>0</v>
      </c>
      <c r="F396" t="str">
        <f ca="1">IF(ISNA(VLOOKUP(B396,J3:J9,1,FALSE)), "FALSE", "TRUE")</f>
        <v>FALSE</v>
      </c>
      <c r="M396" t="s">
        <v>788</v>
      </c>
      <c r="N396" s="13" t="s">
        <v>432</v>
      </c>
    </row>
    <row r="397" spans="1:14">
      <c r="A397" t="s">
        <v>789</v>
      </c>
      <c r="B397" s="13" t="s">
        <v>433</v>
      </c>
      <c r="C397" t="b">
        <f ca="1">OR(AND(ISNUMBER(SEARCH(B396,I2)),H2&gt;G2),(AND(ISNUMBER(SEARCH(B397,I2)),H2&lt;G2)))</f>
        <v>0</v>
      </c>
      <c r="F397" t="str">
        <f ca="1">IF(ISNA(VLOOKUP(B397,J3:J9,1,FALSE)), "FALSE", "TRUE")</f>
        <v>FALSE</v>
      </c>
      <c r="M397" t="s">
        <v>789</v>
      </c>
      <c r="N397" s="13" t="s">
        <v>433</v>
      </c>
    </row>
    <row r="398" spans="1:14">
      <c r="A398" t="s">
        <v>790</v>
      </c>
      <c r="B398" s="13" t="s">
        <v>434</v>
      </c>
      <c r="C398" t="b">
        <f ca="1">OR(AND(ISNUMBER(SEARCH(B397,I2)),H2&gt;G2),(AND(ISNUMBER(SEARCH(B398,I2)),H2&lt;G2)))</f>
        <v>0</v>
      </c>
      <c r="F398" t="str">
        <f ca="1">IF(ISNA(VLOOKUP(B398,J3:J9,1,FALSE)), "FALSE", "TRUE")</f>
        <v>FALSE</v>
      </c>
      <c r="M398" t="s">
        <v>790</v>
      </c>
      <c r="N398" s="13" t="s">
        <v>434</v>
      </c>
    </row>
    <row r="399" spans="1:14">
      <c r="A399" t="s">
        <v>791</v>
      </c>
      <c r="B399" s="13" t="s">
        <v>435</v>
      </c>
      <c r="C399" t="b">
        <f ca="1">OR(AND(ISNUMBER(SEARCH(B398,I2)),H2&gt;G2),(AND(ISNUMBER(SEARCH(B399,I2)),H2&lt;G2)))</f>
        <v>0</v>
      </c>
      <c r="F399" t="str">
        <f ca="1">IF(ISNA(VLOOKUP(B399,J3:J9,1,FALSE)), "FALSE", "TRUE")</f>
        <v>FALSE</v>
      </c>
      <c r="M399" t="s">
        <v>791</v>
      </c>
      <c r="N399" s="13" t="s">
        <v>435</v>
      </c>
    </row>
    <row r="400" spans="1:14">
      <c r="A400" t="s">
        <v>792</v>
      </c>
      <c r="B400" s="13" t="s">
        <v>436</v>
      </c>
      <c r="C400" t="b">
        <f ca="1">OR(AND(ISNUMBER(SEARCH(B399,I2)),H2&gt;G2),(AND(ISNUMBER(SEARCH(B400,I2)),H2&lt;G2)))</f>
        <v>0</v>
      </c>
      <c r="F400" t="str">
        <f ca="1">IF(ISNA(VLOOKUP(B400,J3:J9,1,FALSE)), "FALSE", "TRUE")</f>
        <v>FALSE</v>
      </c>
      <c r="M400" t="s">
        <v>792</v>
      </c>
      <c r="N400" s="13" t="s">
        <v>436</v>
      </c>
    </row>
    <row r="401" spans="1:14">
      <c r="A401" t="s">
        <v>793</v>
      </c>
      <c r="B401" s="13" t="s">
        <v>437</v>
      </c>
      <c r="C401" t="b">
        <f ca="1">OR(AND(ISNUMBER(SEARCH(B400,I2)),H2&gt;G2),(AND(ISNUMBER(SEARCH(B401,I2)),H2&lt;G2)))</f>
        <v>0</v>
      </c>
      <c r="F401" t="str">
        <f ca="1">IF(ISNA(VLOOKUP(B401,J3:J9,1,FALSE)), "FALSE", "TRUE")</f>
        <v>FALSE</v>
      </c>
      <c r="M401" t="s">
        <v>793</v>
      </c>
      <c r="N401" s="13" t="s">
        <v>437</v>
      </c>
    </row>
    <row r="402" spans="1:14">
      <c r="A402" t="s">
        <v>794</v>
      </c>
      <c r="B402" s="13" t="s">
        <v>438</v>
      </c>
      <c r="C402" t="b">
        <f ca="1">OR(AND(ISNUMBER(SEARCH(B401,I2)),H2&gt;G2),(AND(ISNUMBER(SEARCH(B402,I2)),H2&lt;G2)))</f>
        <v>0</v>
      </c>
      <c r="F402" t="str">
        <f ca="1">IF(ISNA(VLOOKUP(B402,J3:J9,1,FALSE)), "FALSE", "TRUE")</f>
        <v>FALSE</v>
      </c>
      <c r="M402" t="s">
        <v>794</v>
      </c>
      <c r="N402" s="13" t="s">
        <v>438</v>
      </c>
    </row>
    <row r="403" spans="1:14">
      <c r="A403" t="s">
        <v>795</v>
      </c>
      <c r="B403" s="13" t="s">
        <v>439</v>
      </c>
      <c r="C403" t="b">
        <f ca="1">OR(AND(ISNUMBER(SEARCH(B402,I2)),H2&gt;G2),(AND(ISNUMBER(SEARCH(B403,I2)),H2&lt;G2)))</f>
        <v>0</v>
      </c>
      <c r="F403" t="str">
        <f ca="1">IF(ISNA(VLOOKUP(B403,J3:J9,1,FALSE)), "FALSE", "TRUE")</f>
        <v>FALSE</v>
      </c>
      <c r="M403" t="s">
        <v>795</v>
      </c>
      <c r="N403" s="13" t="s">
        <v>439</v>
      </c>
    </row>
    <row r="404" spans="1:14">
      <c r="A404" t="s">
        <v>796</v>
      </c>
      <c r="B404" s="13" t="s">
        <v>440</v>
      </c>
      <c r="C404" t="b">
        <f ca="1">OR(AND(ISNUMBER(SEARCH(B403,I2)),H2&gt;G2),(AND(ISNUMBER(SEARCH(B404,I2)),H2&lt;G2)))</f>
        <v>0</v>
      </c>
      <c r="F404" t="str">
        <f ca="1">IF(ISNA(VLOOKUP(B404,J3:J9,1,FALSE)), "FALSE", "TRUE")</f>
        <v>FALSE</v>
      </c>
      <c r="M404" t="s">
        <v>796</v>
      </c>
      <c r="N404" s="13" t="s">
        <v>440</v>
      </c>
    </row>
    <row r="405" spans="1:14">
      <c r="A405" t="s">
        <v>797</v>
      </c>
      <c r="B405" s="13" t="s">
        <v>441</v>
      </c>
      <c r="C405" t="b">
        <f ca="1">OR(AND(ISNUMBER(SEARCH(B404,I2)),H2&gt;G2),(AND(ISNUMBER(SEARCH(B405,I2)),H2&lt;G2)))</f>
        <v>0</v>
      </c>
      <c r="F405" t="str">
        <f ca="1">IF(ISNA(VLOOKUP(B405,J3:J9,1,FALSE)), "FALSE", "TRUE")</f>
        <v>FALSE</v>
      </c>
      <c r="M405" t="s">
        <v>797</v>
      </c>
      <c r="N405" s="13" t="s">
        <v>441</v>
      </c>
    </row>
    <row r="406" spans="1:14">
      <c r="A406" t="s">
        <v>798</v>
      </c>
      <c r="B406" s="13" t="s">
        <v>442</v>
      </c>
      <c r="C406" t="b">
        <f ca="1">OR(AND(ISNUMBER(SEARCH(B405,I2)),H2&gt;G2),(AND(ISNUMBER(SEARCH(B406,I2)),H2&lt;G2)))</f>
        <v>0</v>
      </c>
      <c r="F406" t="str">
        <f ca="1">IF(ISNA(VLOOKUP(B406,J3:J9,1,FALSE)), "FALSE", "TRUE")</f>
        <v>FALSE</v>
      </c>
      <c r="M406" t="s">
        <v>798</v>
      </c>
      <c r="N406" s="13" t="s">
        <v>442</v>
      </c>
    </row>
    <row r="407" spans="1:14">
      <c r="A407" t="s">
        <v>799</v>
      </c>
      <c r="B407" s="13" t="s">
        <v>443</v>
      </c>
      <c r="C407" t="b">
        <f ca="1">OR(AND(ISNUMBER(SEARCH(B406,I2)),H2&gt;G2),(AND(ISNUMBER(SEARCH(B407,I2)),H2&lt;G2)))</f>
        <v>0</v>
      </c>
      <c r="F407" t="str">
        <f ca="1">IF(ISNA(VLOOKUP(B407,J3:J9,1,FALSE)), "FALSE", "TRUE")</f>
        <v>FALSE</v>
      </c>
      <c r="M407" t="s">
        <v>799</v>
      </c>
      <c r="N407" s="13" t="s">
        <v>443</v>
      </c>
    </row>
    <row r="408" spans="1:14">
      <c r="A408" t="s">
        <v>800</v>
      </c>
      <c r="B408" s="13" t="s">
        <v>444</v>
      </c>
      <c r="C408" t="b">
        <f ca="1">OR(AND(ISNUMBER(SEARCH(B407,I2)),H2&gt;G2),(AND(ISNUMBER(SEARCH(B408,I2)),H2&lt;G2)))</f>
        <v>0</v>
      </c>
      <c r="F408" t="str">
        <f ca="1">IF(ISNA(VLOOKUP(B408,J3:J9,1,FALSE)), "FALSE", "TRUE")</f>
        <v>FALSE</v>
      </c>
      <c r="M408" t="s">
        <v>800</v>
      </c>
      <c r="N408" s="13" t="s">
        <v>444</v>
      </c>
    </row>
    <row r="409" spans="1:14">
      <c r="A409" t="s">
        <v>801</v>
      </c>
      <c r="B409" s="13" t="s">
        <v>445</v>
      </c>
      <c r="C409" t="b">
        <f ca="1">OR(AND(ISNUMBER(SEARCH(B408,I2)),H2&gt;G2),(AND(ISNUMBER(SEARCH(B409,I2)),H2&lt;G2)))</f>
        <v>0</v>
      </c>
      <c r="F409" t="str">
        <f ca="1">IF(ISNA(VLOOKUP(B409,J3:J9,1,FALSE)), "FALSE", "TRUE")</f>
        <v>FALSE</v>
      </c>
      <c r="M409" t="s">
        <v>801</v>
      </c>
      <c r="N409" s="13" t="s">
        <v>445</v>
      </c>
    </row>
    <row r="410" spans="1:14">
      <c r="A410" t="s">
        <v>802</v>
      </c>
      <c r="B410" s="13" t="s">
        <v>446</v>
      </c>
      <c r="C410" t="b">
        <f ca="1">OR(AND(ISNUMBER(SEARCH(B409,I2)),H2&gt;G2),(AND(ISNUMBER(SEARCH(B410,I2)),H2&lt;G2)))</f>
        <v>0</v>
      </c>
      <c r="F410" t="str">
        <f ca="1">IF(ISNA(VLOOKUP(B410,J3:J9,1,FALSE)), "FALSE", "TRUE")</f>
        <v>FALSE</v>
      </c>
      <c r="M410" t="s">
        <v>802</v>
      </c>
      <c r="N410" s="13" t="s">
        <v>446</v>
      </c>
    </row>
    <row r="411" spans="1:14">
      <c r="A411" t="s">
        <v>803</v>
      </c>
      <c r="B411" s="13" t="s">
        <v>447</v>
      </c>
      <c r="C411" t="b">
        <f ca="1">OR(AND(ISNUMBER(SEARCH(B410,I2)),H2&gt;G2),(AND(ISNUMBER(SEARCH(B411,I2)),H2&lt;G2)))</f>
        <v>0</v>
      </c>
      <c r="F411" t="str">
        <f ca="1">IF(ISNA(VLOOKUP(B411,J3:J9,1,FALSE)), "FALSE", "TRUE")</f>
        <v>FALSE</v>
      </c>
      <c r="M411" t="s">
        <v>803</v>
      </c>
      <c r="N411" s="13" t="s">
        <v>447</v>
      </c>
    </row>
    <row r="412" spans="1:14">
      <c r="A412" t="s">
        <v>804</v>
      </c>
      <c r="B412" s="13" t="s">
        <v>448</v>
      </c>
      <c r="C412" t="b">
        <f ca="1">OR(AND(ISNUMBER(SEARCH(B411,I2)),H2&gt;G2),(AND(ISNUMBER(SEARCH(B412,I2)),H2&lt;G2)))</f>
        <v>0</v>
      </c>
      <c r="F412" t="str">
        <f ca="1">IF(ISNA(VLOOKUP(B412,J3:J9,1,FALSE)), "FALSE", "TRUE")</f>
        <v>FALSE</v>
      </c>
      <c r="M412" t="s">
        <v>804</v>
      </c>
      <c r="N412" s="13" t="s">
        <v>448</v>
      </c>
    </row>
    <row r="413" spans="1:14">
      <c r="A413" t="s">
        <v>805</v>
      </c>
      <c r="B413" s="13" t="s">
        <v>449</v>
      </c>
      <c r="C413" t="b">
        <f ca="1">OR(AND(ISNUMBER(SEARCH(B412,I2)),H2&gt;G2),(AND(ISNUMBER(SEARCH(B413,I2)),H2&lt;G2)))</f>
        <v>0</v>
      </c>
      <c r="F413" t="str">
        <f ca="1">IF(ISNA(VLOOKUP(B413,J3:J9,1,FALSE)), "FALSE", "TRUE")</f>
        <v>FALSE</v>
      </c>
      <c r="M413" t="s">
        <v>805</v>
      </c>
      <c r="N413" s="13" t="s">
        <v>449</v>
      </c>
    </row>
    <row r="414" spans="1:14">
      <c r="A414" t="s">
        <v>806</v>
      </c>
      <c r="B414" s="13" t="s">
        <v>450</v>
      </c>
      <c r="C414" t="b">
        <f ca="1">OR(AND(ISNUMBER(SEARCH(B413,I2)),H2&gt;G2),(AND(ISNUMBER(SEARCH(B414,I2)),H2&lt;G2)))</f>
        <v>0</v>
      </c>
      <c r="F414" t="str">
        <f ca="1">IF(ISNA(VLOOKUP(B414,J3:J9,1,FALSE)), "FALSE", "TRUE")</f>
        <v>FALSE</v>
      </c>
      <c r="M414" t="s">
        <v>806</v>
      </c>
      <c r="N414" s="13" t="s">
        <v>450</v>
      </c>
    </row>
    <row r="415" spans="1:14">
      <c r="A415" t="s">
        <v>807</v>
      </c>
      <c r="B415" s="13" t="s">
        <v>451</v>
      </c>
      <c r="C415" t="b">
        <f ca="1">OR(AND(ISNUMBER(SEARCH(B414,I2)),H2&gt;G2),(AND(ISNUMBER(SEARCH(B415,I2)),H2&lt;G2)))</f>
        <v>0</v>
      </c>
      <c r="F415" t="str">
        <f ca="1">IF(ISNA(VLOOKUP(B415,J3:J9,1,FALSE)), "FALSE", "TRUE")</f>
        <v>FALSE</v>
      </c>
      <c r="M415" t="s">
        <v>807</v>
      </c>
      <c r="N415" s="13" t="s">
        <v>451</v>
      </c>
    </row>
    <row r="416" spans="1:14">
      <c r="A416" t="s">
        <v>808</v>
      </c>
      <c r="B416" s="13" t="s">
        <v>452</v>
      </c>
      <c r="C416" t="b">
        <f ca="1">OR(AND(ISNUMBER(SEARCH(B415,I2)),H2&gt;G2),(AND(ISNUMBER(SEARCH(B416,I2)),H2&lt;G2)))</f>
        <v>0</v>
      </c>
      <c r="F416" t="str">
        <f ca="1">IF(ISNA(VLOOKUP(B416,J3:J9,1,FALSE)), "FALSE", "TRUE")</f>
        <v>FALSE</v>
      </c>
      <c r="M416" t="s">
        <v>808</v>
      </c>
      <c r="N416" s="13" t="s">
        <v>452</v>
      </c>
    </row>
    <row r="417" spans="1:14">
      <c r="A417" t="s">
        <v>809</v>
      </c>
      <c r="B417" s="13" t="s">
        <v>453</v>
      </c>
      <c r="C417" t="b">
        <f ca="1">OR(AND(ISNUMBER(SEARCH(B416,I2)),H2&gt;G2),(AND(ISNUMBER(SEARCH(B417,I2)),H2&lt;G2)))</f>
        <v>0</v>
      </c>
      <c r="F417" t="str">
        <f ca="1">IF(ISNA(VLOOKUP(B417,J3:J9,1,FALSE)), "FALSE", "TRUE")</f>
        <v>FALSE</v>
      </c>
      <c r="M417" t="s">
        <v>809</v>
      </c>
      <c r="N417" s="13" t="s">
        <v>453</v>
      </c>
    </row>
    <row r="418" spans="1:14">
      <c r="A418" t="s">
        <v>810</v>
      </c>
      <c r="B418" s="13" t="s">
        <v>454</v>
      </c>
      <c r="C418" t="b">
        <f ca="1">OR(AND(ISNUMBER(SEARCH(B417,I2)),H2&gt;G2),(AND(ISNUMBER(SEARCH(B418,I2)),H2&lt;G2)))</f>
        <v>0</v>
      </c>
      <c r="F418" t="str">
        <f ca="1">IF(ISNA(VLOOKUP(B418,J3:J9,1,FALSE)), "FALSE", "TRUE")</f>
        <v>FALSE</v>
      </c>
      <c r="M418" t="s">
        <v>810</v>
      </c>
      <c r="N418" s="13" t="s">
        <v>454</v>
      </c>
    </row>
    <row r="419" spans="1:14">
      <c r="A419" t="s">
        <v>811</v>
      </c>
      <c r="B419" s="13" t="s">
        <v>455</v>
      </c>
      <c r="C419" t="b">
        <f ca="1">OR(AND(ISNUMBER(SEARCH(B418,I2)),H2&gt;G2),(AND(ISNUMBER(SEARCH(B419,I2)),H2&lt;G2)))</f>
        <v>0</v>
      </c>
      <c r="F419" t="str">
        <f ca="1">IF(ISNA(VLOOKUP(B419,J3:J9,1,FALSE)), "FALSE", "TRUE")</f>
        <v>FALSE</v>
      </c>
      <c r="M419" t="s">
        <v>811</v>
      </c>
      <c r="N419" s="13" t="s">
        <v>455</v>
      </c>
    </row>
    <row r="420" spans="1:14">
      <c r="A420" t="s">
        <v>812</v>
      </c>
      <c r="B420" s="13" t="s">
        <v>456</v>
      </c>
      <c r="C420" t="b">
        <f ca="1">OR(AND(ISNUMBER(SEARCH(B419,I2)),H2&gt;G2),(AND(ISNUMBER(SEARCH(B420,I2)),H2&lt;G2)))</f>
        <v>0</v>
      </c>
      <c r="F420" t="str">
        <f ca="1">IF(ISNA(VLOOKUP(B420,J3:J9,1,FALSE)), "FALSE", "TRUE")</f>
        <v>FALSE</v>
      </c>
      <c r="M420" t="s">
        <v>812</v>
      </c>
      <c r="N420" s="13" t="s">
        <v>456</v>
      </c>
    </row>
    <row r="421" spans="1:14">
      <c r="B421" s="13"/>
      <c r="N421" s="1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topLeftCell="K2" workbookViewId="0">
      <selection activeCell="O14" sqref="O14"/>
    </sheetView>
  </sheetViews>
  <sheetFormatPr defaultRowHeight="14.25"/>
  <cols>
    <col min="3" max="3" width="11.25" customWidth="1"/>
    <col min="4" max="4" width="10.25" customWidth="1"/>
    <col min="8" max="8" width="10.625" customWidth="1"/>
    <col min="12" max="13" width="13.125" customWidth="1"/>
    <col min="14" max="14" width="9" customWidth="1"/>
    <col min="15" max="15" width="30.5" customWidth="1"/>
  </cols>
  <sheetData>
    <row r="1" spans="1:24">
      <c r="A1" s="13" t="s">
        <v>1003</v>
      </c>
      <c r="D1" s="43"/>
      <c r="Q1" t="s">
        <v>1024</v>
      </c>
    </row>
    <row r="2" spans="1:24" ht="15">
      <c r="A2" s="63" t="str">
        <f ca="1">IF(ISNA(VLOOKUP(Holidays!I2,A4:A34,1,FALSE)), "FALSE", A3)</f>
        <v>הלל</v>
      </c>
      <c r="B2" s="63" t="str">
        <f ca="1">IF(ISNA(VLOOKUP(Holidays!I2,B4:B23,1,FALSE)), "FALSE", B3)</f>
        <v>FALSE</v>
      </c>
      <c r="C2" s="63" t="str">
        <f ca="1">IF(ISNA(VLOOKUP(Holidays!I2,C4:C74,1,FALSE)), "FALSE", C3)</f>
        <v>אין אומרים תחנון</v>
      </c>
      <c r="D2" s="63" t="str">
        <f ca="1">IF(ISNA(VLOOKUP(Holidays!I2,D4:D237,1,FALSE)), "FALSE", D3)</f>
        <v>משיב הרוח ומוריד הגשם</v>
      </c>
      <c r="E2" s="63" t="str">
        <f ca="1">IF(ISNA(VLOOKUP(Holidays!I2,E4:E191,1,FALSE)), "FALSE", E3)</f>
        <v>מוריד הטל</v>
      </c>
      <c r="F2" s="63" t="str">
        <f ca="1">IF(ISNA(VLOOKUP(Holidays!I2,F4:F222,1,FALSE)), "FALSE", F3)</f>
        <v>ברך עלינו</v>
      </c>
      <c r="G2" s="63" t="str">
        <f ca="1">IF(ISNA(VLOOKUP(Holidays!I2,G4:G204,1,FALSE)), "FALSE", G3)</f>
        <v>FALSE</v>
      </c>
      <c r="H2" s="63" t="str">
        <f ca="1">IF(ISNA(VLOOKUP(FALSE,H4:H7,1,FALSE)),H3,"FALSE")</f>
        <v>FALSE</v>
      </c>
      <c r="I2" s="63" t="str">
        <f ca="1">IF(ISNA(VLOOKUP(Holidays!I2,I4:I13,1,FALSE)), "FALSE", I3)</f>
        <v>FALSE</v>
      </c>
      <c r="J2" s="63" t="str">
        <f ca="1">IF(ISNA(VLOOKUP(Holidays!I2,J4:J78,1,FALSE)), "FALSE", J3)</f>
        <v>יעלה ויבוא</v>
      </c>
      <c r="K2" s="63" t="str">
        <f ca="1">IF(ISNA(VLOOKUP(Holidays!I2,K4:K34,1,FALSE)), "FALSE", K3)</f>
        <v>FALSE</v>
      </c>
      <c r="L2" s="63" t="str">
        <f ca="1">IF(ISNA(VLOOKUP(Holidays!I2,L4:L36,1,FALSE)), "FALSE", L3)</f>
        <v>FALSE</v>
      </c>
      <c r="M2" s="63" t="str">
        <f ca="1">IF(ISNA(VLOOKUP(Holidays!I2,M4:M27,1,FALSE)), "FALSE", M3)</f>
        <v>FALSE</v>
      </c>
      <c r="N2" s="63" t="s">
        <v>1025</v>
      </c>
      <c r="Q2" t="str">
        <f ca="1">IF(ISNUMBER(SEARCH(FALSE,T3)),"",CHAR(10)&amp;T2)&amp;
IF(ISNUMBER(SEARCH(FALSE,U3)),"",CHAR(10)&amp;U2)&amp;
IF(ISNUMBER(SEARCH(FALSE,V3)),"",CHAR(10)&amp;V2)&amp;
IF(ISNUMBER(SEARCH(FALSE,W3)),"",CHAR(10)&amp;W2)&amp;
IF(ISNUMBER(SEARCH(FALSE,X3)),"",CHAR(10)&amp;X2)</f>
        <v/>
      </c>
      <c r="S2" s="13" t="s">
        <v>1018</v>
      </c>
      <c r="T2" s="13" t="s">
        <v>1020</v>
      </c>
      <c r="U2" s="13" t="s">
        <v>1021</v>
      </c>
      <c r="V2" s="13" t="s">
        <v>1022</v>
      </c>
      <c r="W2" s="13" t="s">
        <v>1023</v>
      </c>
      <c r="X2" s="13" t="s">
        <v>1016</v>
      </c>
    </row>
    <row r="3" spans="1:24">
      <c r="A3" s="56" t="s">
        <v>1004</v>
      </c>
      <c r="B3" s="54" t="s">
        <v>1006</v>
      </c>
      <c r="C3" s="54" t="s">
        <v>1005</v>
      </c>
      <c r="D3" s="54" t="s">
        <v>1007</v>
      </c>
      <c r="E3" s="54" t="s">
        <v>1008</v>
      </c>
      <c r="F3" s="54" t="s">
        <v>1009</v>
      </c>
      <c r="G3" s="54" t="s">
        <v>1010</v>
      </c>
      <c r="H3" s="54" t="s">
        <v>1012</v>
      </c>
      <c r="I3" s="54" t="s">
        <v>1013</v>
      </c>
      <c r="J3" s="54" t="s">
        <v>1014</v>
      </c>
      <c r="K3" s="54" t="s">
        <v>1011</v>
      </c>
      <c r="L3" s="54" t="s">
        <v>1017</v>
      </c>
      <c r="M3" s="54" t="s">
        <v>1026</v>
      </c>
      <c r="N3" s="54" t="s">
        <v>1025</v>
      </c>
      <c r="Q3" t="str">
        <f ca="1">IF(ISNUMBER(SEARCH(FALSE,T3)),"",T2)&amp;
IF(ISNUMBER(SEARCH(FALSE,U3)),"",U2)&amp;
IF(ISNUMBER(SEARCH(FALSE,V3)),"",V2)&amp;
IF(ISNUMBER(SEARCH(FALSE,W3)),"",W2)&amp;
IF(ISNUMBER(SEARCH(FALSE,X3)),"",X2)</f>
        <v/>
      </c>
      <c r="R3" s="13" t="s">
        <v>1027</v>
      </c>
      <c r="S3" s="68" t="str">
        <f ca="1">TEXT(Holidays!J2+7,"[$-he-IL,8]mmmm dd;@")</f>
        <v>ניסן 16</v>
      </c>
      <c r="T3" t="str">
        <f ca="1">IFERROR(VLOOKUP("אדר 01",S3:S9,1,FALSE),"FALSE")</f>
        <v>FALSE</v>
      </c>
      <c r="U3" t="str">
        <f ca="1">IFERROR(VLOOKUP("אדר 14",S3:S9,1,FALSE),"FALSE")</f>
        <v>FALSE</v>
      </c>
      <c r="V3" t="str">
        <f ca="1">IFERROR(VLOOKUP("ניסן 01",S10:S16,1,FALSE),"FALSE")</f>
        <v>FALSE</v>
      </c>
      <c r="W3" t="str">
        <f ca="1">IFERROR(VLOOKUP("ניסן 01",S3:S9,1,FALSE),"FALSE")</f>
        <v>FALSE</v>
      </c>
      <c r="X3" t="str">
        <f ca="1">IFERROR(VLOOKUP("ניסן 14",S3:S9,1,FALSE),"FALSE")</f>
        <v>FALSE</v>
      </c>
    </row>
    <row r="4" spans="1:24">
      <c r="A4" s="45" t="s">
        <v>247</v>
      </c>
      <c r="B4" s="45" t="s">
        <v>231</v>
      </c>
      <c r="C4" s="45" t="s">
        <v>233</v>
      </c>
      <c r="D4" s="45" t="s">
        <v>239</v>
      </c>
      <c r="E4" s="13" t="s">
        <v>292</v>
      </c>
      <c r="F4" s="13" t="s">
        <v>105</v>
      </c>
      <c r="G4" s="13" t="s">
        <v>293</v>
      </c>
      <c r="H4" s="64" t="b">
        <f ca="1">IF(ISNUMBER(SEARCH("תענית אסתר",גיליון2!A10)),TRUE,FALSE)</f>
        <v>0</v>
      </c>
      <c r="I4" s="45" t="s">
        <v>218</v>
      </c>
      <c r="J4" s="45" t="s">
        <v>247</v>
      </c>
      <c r="K4" s="45" t="s">
        <v>247</v>
      </c>
      <c r="L4" s="13" t="s">
        <v>278</v>
      </c>
      <c r="M4" s="45" t="s">
        <v>247</v>
      </c>
      <c r="R4" s="13" t="s">
        <v>1028</v>
      </c>
      <c r="S4" s="69" t="str">
        <f ca="1">TEXT(Holidays!J2+8,"[$-he-IL,8]mmmm dd;@")</f>
        <v>ניסן 17</v>
      </c>
    </row>
    <row r="5" spans="1:24">
      <c r="A5" s="13" t="s">
        <v>99</v>
      </c>
      <c r="B5" s="45" t="s">
        <v>232</v>
      </c>
      <c r="C5" s="45" t="s">
        <v>234</v>
      </c>
      <c r="D5" s="45" t="s">
        <v>240</v>
      </c>
      <c r="E5" s="13" t="s">
        <v>293</v>
      </c>
      <c r="F5" s="13" t="s">
        <v>106</v>
      </c>
      <c r="G5" s="13" t="s">
        <v>294</v>
      </c>
      <c r="H5" s="64" t="b">
        <f ca="1">IF(ISNUMBER(SEARCH("צום שבעה עשר בתמוז",גיליון2!A10)),TRUE,FALSE)</f>
        <v>0</v>
      </c>
      <c r="I5" s="45" t="s">
        <v>219</v>
      </c>
      <c r="J5" s="13" t="s">
        <v>99</v>
      </c>
      <c r="K5" s="13" t="s">
        <v>99</v>
      </c>
      <c r="L5" s="13" t="s">
        <v>279</v>
      </c>
      <c r="M5" s="13" t="s">
        <v>99</v>
      </c>
      <c r="R5" s="13" t="s">
        <v>1029</v>
      </c>
      <c r="S5" s="69" t="str">
        <f ca="1">TEXT(Holidays!J2+9,"[$-he-IL,8]mmmm dd;@")</f>
        <v>ניסן 18</v>
      </c>
    </row>
    <row r="6" spans="1:24">
      <c r="A6" s="13" t="s">
        <v>127</v>
      </c>
      <c r="B6" s="45" t="s">
        <v>233</v>
      </c>
      <c r="C6" s="45" t="s">
        <v>235</v>
      </c>
      <c r="D6" s="45" t="s">
        <v>241</v>
      </c>
      <c r="E6" s="13" t="s">
        <v>294</v>
      </c>
      <c r="F6" s="13" t="s">
        <v>107</v>
      </c>
      <c r="G6" s="13" t="s">
        <v>295</v>
      </c>
      <c r="H6" s="64" t="b">
        <f ca="1">IF(ISNUMBER(SEARCH("תשעה באב",גיליון2!A10)),TRUE,FALSE)</f>
        <v>0</v>
      </c>
      <c r="I6" s="45" t="s">
        <v>220</v>
      </c>
      <c r="J6" s="13" t="s">
        <v>127</v>
      </c>
      <c r="K6" s="13" t="s">
        <v>127</v>
      </c>
      <c r="L6" s="13" t="s">
        <v>280</v>
      </c>
      <c r="M6" s="13" t="s">
        <v>127</v>
      </c>
      <c r="R6" s="13" t="s">
        <v>1030</v>
      </c>
      <c r="S6" s="69" t="str">
        <f ca="1">TEXT(Holidays!J2+10,"[$-he-IL,8]mmmm dd;@")</f>
        <v>ניסן 19</v>
      </c>
    </row>
    <row r="7" spans="1:24">
      <c r="A7" s="13" t="s">
        <v>128</v>
      </c>
      <c r="B7" s="45" t="s">
        <v>234</v>
      </c>
      <c r="C7" s="45" t="s">
        <v>236</v>
      </c>
      <c r="D7" s="45" t="s">
        <v>242</v>
      </c>
      <c r="E7" s="13" t="s">
        <v>295</v>
      </c>
      <c r="F7" s="13" t="s">
        <v>108</v>
      </c>
      <c r="G7" s="13" t="s">
        <v>296</v>
      </c>
      <c r="H7" s="64" t="b">
        <f ca="1">IF(ISNUMBER(SEARCH("צום גדליה",גיליון2!A10)),TRUE,FALSE)</f>
        <v>0</v>
      </c>
      <c r="I7" s="45" t="s">
        <v>221</v>
      </c>
      <c r="J7" s="13" t="s">
        <v>128</v>
      </c>
      <c r="K7" s="13" t="s">
        <v>128</v>
      </c>
      <c r="L7" s="13" t="s">
        <v>281</v>
      </c>
      <c r="M7" s="13" t="s">
        <v>128</v>
      </c>
      <c r="R7" s="13" t="s">
        <v>1031</v>
      </c>
      <c r="S7" s="69" t="str">
        <f ca="1">TEXT(Holidays!J2+11,"[$-he-IL,8]mmmm dd;@")</f>
        <v>ניסן 20</v>
      </c>
    </row>
    <row r="8" spans="1:24">
      <c r="A8" s="13" t="s">
        <v>187</v>
      </c>
      <c r="B8" s="45" t="s">
        <v>235</v>
      </c>
      <c r="C8" s="45" t="s">
        <v>237</v>
      </c>
      <c r="D8" s="45" t="s">
        <v>243</v>
      </c>
      <c r="E8" s="13" t="s">
        <v>296</v>
      </c>
      <c r="F8" s="13" t="s">
        <v>109</v>
      </c>
      <c r="G8" s="13" t="s">
        <v>297</v>
      </c>
      <c r="I8" s="45" t="s">
        <v>222</v>
      </c>
      <c r="J8" s="13" t="s">
        <v>187</v>
      </c>
      <c r="K8" s="13" t="s">
        <v>187</v>
      </c>
      <c r="L8" s="13" t="s">
        <v>282</v>
      </c>
      <c r="M8" s="13" t="s">
        <v>187</v>
      </c>
      <c r="O8" s="57"/>
      <c r="P8" s="57"/>
      <c r="R8" s="13" t="s">
        <v>1032</v>
      </c>
      <c r="S8" s="69" t="str">
        <f ca="1">TEXT(Holidays!J2+12,"[$-he-IL,8]mmmm dd;@")</f>
        <v>ניסן 21</v>
      </c>
    </row>
    <row r="9" spans="1:24">
      <c r="A9" s="13" t="s">
        <v>188</v>
      </c>
      <c r="B9" s="45" t="s">
        <v>236</v>
      </c>
      <c r="C9" s="45" t="s">
        <v>238</v>
      </c>
      <c r="D9" s="45" t="s">
        <v>244</v>
      </c>
      <c r="E9" s="13" t="s">
        <v>297</v>
      </c>
      <c r="F9" s="13" t="s">
        <v>110</v>
      </c>
      <c r="G9" s="13" t="s">
        <v>298</v>
      </c>
      <c r="I9" s="45" t="s">
        <v>223</v>
      </c>
      <c r="J9" s="13" t="s">
        <v>188</v>
      </c>
      <c r="K9" s="13" t="s">
        <v>188</v>
      </c>
      <c r="L9" s="13" t="s">
        <v>283</v>
      </c>
      <c r="M9" s="13" t="s">
        <v>188</v>
      </c>
      <c r="R9" s="13" t="s">
        <v>1033</v>
      </c>
      <c r="S9" s="69" t="str">
        <f ca="1">TEXT(Holidays!J2+13,"[$-he-IL,8]mmmm dd;@")</f>
        <v>ניסן 22</v>
      </c>
    </row>
    <row r="10" spans="1:24">
      <c r="A10" s="13" t="s">
        <v>217</v>
      </c>
      <c r="B10" s="45" t="s">
        <v>237</v>
      </c>
      <c r="C10" s="45" t="s">
        <v>239</v>
      </c>
      <c r="D10" s="45" t="s">
        <v>245</v>
      </c>
      <c r="E10" s="13" t="s">
        <v>298</v>
      </c>
      <c r="F10" s="13" t="s">
        <v>111</v>
      </c>
      <c r="G10" s="13" t="s">
        <v>299</v>
      </c>
      <c r="I10" s="45" t="s">
        <v>224</v>
      </c>
      <c r="J10" s="13" t="s">
        <v>217</v>
      </c>
      <c r="K10" s="13" t="s">
        <v>217</v>
      </c>
      <c r="L10" s="13" t="s">
        <v>284</v>
      </c>
      <c r="M10" s="13" t="s">
        <v>217</v>
      </c>
      <c r="S10" s="65" t="str">
        <f ca="1">TEXT(Holidays!J2+14,"[$-he-IL,8]mmmm dd;@")</f>
        <v>ניסן 23</v>
      </c>
    </row>
    <row r="11" spans="1:24">
      <c r="A11" s="13" t="s">
        <v>248</v>
      </c>
      <c r="B11" s="45" t="s">
        <v>238</v>
      </c>
      <c r="C11" s="45" t="s">
        <v>240</v>
      </c>
      <c r="D11" s="45" t="s">
        <v>246</v>
      </c>
      <c r="E11" s="13" t="s">
        <v>299</v>
      </c>
      <c r="F11" s="13" t="s">
        <v>112</v>
      </c>
      <c r="G11" s="13" t="s">
        <v>300</v>
      </c>
      <c r="I11" s="45" t="s">
        <v>225</v>
      </c>
      <c r="J11" s="13" t="s">
        <v>248</v>
      </c>
      <c r="K11" s="13" t="s">
        <v>248</v>
      </c>
      <c r="L11" s="13" t="s">
        <v>285</v>
      </c>
      <c r="M11" s="13" t="s">
        <v>248</v>
      </c>
      <c r="O11" s="60"/>
      <c r="S11" s="43" t="str">
        <f ca="1">TEXT(Holidays!J2+15,"[$-he-IL,8]mmmm dd;@")</f>
        <v>ניסן 24</v>
      </c>
    </row>
    <row r="12" spans="1:24">
      <c r="A12" s="13" t="s">
        <v>277</v>
      </c>
      <c r="B12" s="45" t="s">
        <v>239</v>
      </c>
      <c r="C12" s="45" t="s">
        <v>241</v>
      </c>
      <c r="D12" s="45" t="s">
        <v>247</v>
      </c>
      <c r="E12" s="13" t="s">
        <v>300</v>
      </c>
      <c r="F12" s="13" t="s">
        <v>113</v>
      </c>
      <c r="G12" s="13" t="s">
        <v>301</v>
      </c>
      <c r="I12" s="45" t="s">
        <v>226</v>
      </c>
      <c r="J12" s="13" t="s">
        <v>277</v>
      </c>
      <c r="K12" s="13" t="s">
        <v>277</v>
      </c>
      <c r="L12" s="13" t="s">
        <v>286</v>
      </c>
      <c r="M12" s="13" t="s">
        <v>277</v>
      </c>
      <c r="O12" s="13" t="s">
        <v>1015</v>
      </c>
      <c r="S12" s="43" t="str">
        <f ca="1">TEXT(Holidays!J2+16,"[$-he-IL,8]mmmm dd;@")</f>
        <v>ניסן 25</v>
      </c>
    </row>
    <row r="13" spans="1:24" ht="42.75">
      <c r="A13" t="s">
        <v>883</v>
      </c>
      <c r="B13" s="13" t="s">
        <v>152</v>
      </c>
      <c r="C13" s="45" t="s">
        <v>242</v>
      </c>
      <c r="D13" s="13" t="s">
        <v>99</v>
      </c>
      <c r="E13" s="13" t="s">
        <v>301</v>
      </c>
      <c r="F13" s="13" t="s">
        <v>114</v>
      </c>
      <c r="G13" s="13" t="s">
        <v>302</v>
      </c>
      <c r="I13" s="45" t="s">
        <v>227</v>
      </c>
      <c r="J13" t="s">
        <v>883</v>
      </c>
      <c r="K13" t="s">
        <v>883</v>
      </c>
      <c r="L13" s="13" t="s">
        <v>287</v>
      </c>
      <c r="M13" t="s">
        <v>883</v>
      </c>
      <c r="O13" s="6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IF(ISNUMBER(SEARCH(FALSE,H2)),"",H3&amp;CHAR(10))&amp;
IF(ISNUMBER(SEARCH(FALSE,I2)),"",I2&amp;CHAR(10))&amp;
IF(ISNUMBER(SEARCH(FALSE,J2)),"",J2&amp;CHAR(10))&amp;
IF(ISNUMBER(SEARCH(FALSE,K2)),"",K2&amp;CHAR(10))&amp;
IF(ISNUMBER(SEARCH(FALSE,L2)),"",L2&amp;CHAR(10))</f>
        <v xml:space="preserve">הלל
אין אומרים תחנון
משיב הרוח ומוריד הגשם
מוריד הטל
ברך עלינו
יעלה ויבוא
</v>
      </c>
      <c r="S13" s="43" t="str">
        <f ca="1">TEXT(Holidays!J2+17,"[$-he-IL,8]mmmm dd;@")</f>
        <v>ניסן 26</v>
      </c>
    </row>
    <row r="14" spans="1:24">
      <c r="A14" t="s">
        <v>913</v>
      </c>
      <c r="B14" s="13" t="s">
        <v>153</v>
      </c>
      <c r="C14" s="45" t="s">
        <v>243</v>
      </c>
      <c r="D14" s="13" t="s">
        <v>100</v>
      </c>
      <c r="E14" s="13" t="s">
        <v>302</v>
      </c>
      <c r="F14" s="13" t="s">
        <v>115</v>
      </c>
      <c r="G14" s="13" t="s">
        <v>303</v>
      </c>
      <c r="J14" t="s">
        <v>913</v>
      </c>
      <c r="K14" t="s">
        <v>913</v>
      </c>
      <c r="L14" s="13" t="s">
        <v>288</v>
      </c>
      <c r="M14" t="s">
        <v>913</v>
      </c>
      <c r="O14" s="61"/>
      <c r="S14" s="43" t="str">
        <f ca="1">TEXT(Holidays!J2+18,"[$-he-IL,8]mmmm dd;@")</f>
        <v>ניסן 27</v>
      </c>
    </row>
    <row r="15" spans="1:24">
      <c r="A15" s="13" t="s">
        <v>884</v>
      </c>
      <c r="B15" s="13" t="s">
        <v>154</v>
      </c>
      <c r="C15" s="45" t="s">
        <v>244</v>
      </c>
      <c r="D15" s="13" t="s">
        <v>101</v>
      </c>
      <c r="E15" s="13" t="s">
        <v>303</v>
      </c>
      <c r="F15" s="13" t="s">
        <v>116</v>
      </c>
      <c r="G15" s="13" t="s">
        <v>304</v>
      </c>
      <c r="J15" s="13" t="s">
        <v>884</v>
      </c>
      <c r="K15" s="13" t="s">
        <v>884</v>
      </c>
      <c r="L15" s="13" t="s">
        <v>289</v>
      </c>
      <c r="M15" s="13" t="s">
        <v>884</v>
      </c>
      <c r="S15" s="43" t="str">
        <f ca="1">TEXT(Holidays!J2+19,"[$-he-IL,8]mmmm dd;@")</f>
        <v>ניסן 28</v>
      </c>
    </row>
    <row r="16" spans="1:24">
      <c r="A16" s="13" t="s">
        <v>942</v>
      </c>
      <c r="B16" s="13" t="s">
        <v>155</v>
      </c>
      <c r="C16" s="45" t="s">
        <v>245</v>
      </c>
      <c r="D16" s="13" t="s">
        <v>102</v>
      </c>
      <c r="E16" s="13" t="s">
        <v>304</v>
      </c>
      <c r="F16" s="13" t="s">
        <v>117</v>
      </c>
      <c r="G16" s="13" t="s">
        <v>305</v>
      </c>
      <c r="J16" s="13" t="s">
        <v>942</v>
      </c>
      <c r="K16" s="13" t="s">
        <v>942</v>
      </c>
      <c r="L16" s="13" t="s">
        <v>290</v>
      </c>
      <c r="M16" s="13" t="s">
        <v>942</v>
      </c>
      <c r="S16" s="43" t="str">
        <f ca="1">TEXT(Holidays!J2+20,"[$-he-IL,8]mmmm dd;@")</f>
        <v>ניסן 29</v>
      </c>
    </row>
    <row r="17" spans="1:20">
      <c r="A17" s="13" t="s">
        <v>278</v>
      </c>
      <c r="B17" s="13" t="s">
        <v>156</v>
      </c>
      <c r="C17" s="45" t="s">
        <v>246</v>
      </c>
      <c r="D17" s="13" t="s">
        <v>103</v>
      </c>
      <c r="E17" s="13" t="s">
        <v>305</v>
      </c>
      <c r="F17" s="13" t="s">
        <v>118</v>
      </c>
      <c r="G17" s="13" t="s">
        <v>306</v>
      </c>
      <c r="J17" s="13" t="s">
        <v>278</v>
      </c>
      <c r="K17" s="13" t="s">
        <v>278</v>
      </c>
      <c r="M17" s="13" t="s">
        <v>278</v>
      </c>
      <c r="T17" s="13" t="s">
        <v>1026</v>
      </c>
    </row>
    <row r="18" spans="1:20">
      <c r="A18" s="13" t="s">
        <v>307</v>
      </c>
      <c r="B18" s="13" t="s">
        <v>157</v>
      </c>
      <c r="C18" s="45" t="s">
        <v>247</v>
      </c>
      <c r="D18" s="13" t="s">
        <v>104</v>
      </c>
      <c r="E18" s="13" t="s">
        <v>306</v>
      </c>
      <c r="F18" s="13" t="s">
        <v>98</v>
      </c>
      <c r="G18" s="13" t="s">
        <v>307</v>
      </c>
      <c r="J18" s="13" t="s">
        <v>307</v>
      </c>
      <c r="K18" s="13" t="s">
        <v>307</v>
      </c>
      <c r="M18" s="13" t="s">
        <v>307</v>
      </c>
      <c r="T18" t="str">
        <f ca="1">IFERROR(VLOOKUP("21",S3:S9,2),"FALSE")</f>
        <v>FALSE</v>
      </c>
    </row>
    <row r="19" spans="1:20">
      <c r="A19" s="13" t="s">
        <v>308</v>
      </c>
      <c r="B19" s="13" t="s">
        <v>158</v>
      </c>
      <c r="C19" s="13" t="s">
        <v>152</v>
      </c>
      <c r="D19" s="13" t="s">
        <v>105</v>
      </c>
      <c r="E19" s="13" t="s">
        <v>307</v>
      </c>
      <c r="F19" s="13" t="s">
        <v>119</v>
      </c>
      <c r="G19" s="13" t="s">
        <v>308</v>
      </c>
      <c r="J19" s="13" t="s">
        <v>308</v>
      </c>
      <c r="K19" s="13" t="s">
        <v>308</v>
      </c>
      <c r="M19" s="13" t="s">
        <v>308</v>
      </c>
      <c r="S19" s="13">
        <v>22</v>
      </c>
      <c r="T19" t="e">
        <f>VLOOKUP(S19,R3:S9,2)</f>
        <v>#N/A</v>
      </c>
    </row>
    <row r="20" spans="1:20">
      <c r="A20" s="13" t="s">
        <v>337</v>
      </c>
      <c r="B20" s="13" t="s">
        <v>159</v>
      </c>
      <c r="C20" s="13" t="s">
        <v>153</v>
      </c>
      <c r="D20" s="13" t="s">
        <v>106</v>
      </c>
      <c r="E20" s="13" t="s">
        <v>308</v>
      </c>
      <c r="F20" s="13" t="s">
        <v>120</v>
      </c>
      <c r="G20" s="13" t="s">
        <v>309</v>
      </c>
      <c r="J20" s="13" t="s">
        <v>337</v>
      </c>
      <c r="K20" s="13" t="s">
        <v>337</v>
      </c>
      <c r="M20" s="13" t="s">
        <v>337</v>
      </c>
      <c r="T20" t="e">
        <f>IF(LEFT(TRIM(S3:S9),1)="22","OK","Not OK")</f>
        <v>#VALUE!</v>
      </c>
    </row>
    <row r="21" spans="1:20">
      <c r="A21" s="13" t="s">
        <v>338</v>
      </c>
      <c r="B21" s="13" t="s">
        <v>291</v>
      </c>
      <c r="C21" s="13" t="s">
        <v>154</v>
      </c>
      <c r="D21" s="13" t="s">
        <v>107</v>
      </c>
      <c r="E21" s="13" t="s">
        <v>309</v>
      </c>
      <c r="F21" s="13" t="s">
        <v>121</v>
      </c>
      <c r="G21" s="13" t="s">
        <v>310</v>
      </c>
      <c r="J21" s="13" t="s">
        <v>338</v>
      </c>
      <c r="K21" s="13" t="s">
        <v>338</v>
      </c>
      <c r="M21" s="13" t="s">
        <v>338</v>
      </c>
      <c r="T21" t="b">
        <f ca="1">COUNTIF(S3:S9,"*"&amp;22&amp;"*")&gt;0</f>
        <v>1</v>
      </c>
    </row>
    <row r="22" spans="1:20" ht="15">
      <c r="A22" s="13" t="s">
        <v>367</v>
      </c>
      <c r="B22" s="13" t="s">
        <v>342</v>
      </c>
      <c r="C22" s="13" t="s">
        <v>155</v>
      </c>
      <c r="D22" s="13" t="s">
        <v>108</v>
      </c>
      <c r="E22" s="13" t="s">
        <v>310</v>
      </c>
      <c r="F22" s="13" t="s">
        <v>122</v>
      </c>
      <c r="G22" s="13" t="s">
        <v>311</v>
      </c>
      <c r="J22" s="13" t="s">
        <v>367</v>
      </c>
      <c r="K22" s="13" t="s">
        <v>367</v>
      </c>
      <c r="M22" s="13" t="s">
        <v>367</v>
      </c>
      <c r="T22" s="67" t="e">
        <f>VLOOKUP(TRUNC(S19,2),R3:S9,2,FALSE)</f>
        <v>#N/A</v>
      </c>
    </row>
    <row r="23" spans="1:20" ht="15">
      <c r="A23" s="13" t="s">
        <v>368</v>
      </c>
      <c r="B23" s="13" t="s">
        <v>343</v>
      </c>
      <c r="C23" s="13" t="s">
        <v>156</v>
      </c>
      <c r="D23" s="13" t="s">
        <v>109</v>
      </c>
      <c r="E23" s="13" t="s">
        <v>311</v>
      </c>
      <c r="F23" s="13" t="s">
        <v>123</v>
      </c>
      <c r="G23" s="13" t="s">
        <v>312</v>
      </c>
      <c r="J23" s="13" t="s">
        <v>368</v>
      </c>
      <c r="K23" s="13" t="s">
        <v>368</v>
      </c>
      <c r="M23" s="13" t="s">
        <v>368</v>
      </c>
      <c r="T23" s="67" t="e">
        <f>IFERROR(VLOOKUP(VALUE(S19),R3:S9,2,0),VLOOKUP(TEXT(S19,0),R3:S9,2,0))</f>
        <v>#N/A</v>
      </c>
    </row>
    <row r="24" spans="1:20">
      <c r="A24" s="13" t="s">
        <v>397</v>
      </c>
      <c r="C24" s="13" t="s">
        <v>157</v>
      </c>
      <c r="D24" s="13" t="s">
        <v>110</v>
      </c>
      <c r="E24" s="13" t="s">
        <v>312</v>
      </c>
      <c r="F24" s="13" t="s">
        <v>124</v>
      </c>
      <c r="G24" s="13" t="s">
        <v>313</v>
      </c>
      <c r="J24" s="13" t="s">
        <v>397</v>
      </c>
      <c r="K24" s="13" t="s">
        <v>397</v>
      </c>
      <c r="M24" s="13" t="s">
        <v>397</v>
      </c>
    </row>
    <row r="25" spans="1:20">
      <c r="A25" s="13" t="s">
        <v>398</v>
      </c>
      <c r="C25" s="13" t="s">
        <v>158</v>
      </c>
      <c r="D25" s="13" t="s">
        <v>111</v>
      </c>
      <c r="E25" s="13" t="s">
        <v>313</v>
      </c>
      <c r="F25" s="13" t="s">
        <v>125</v>
      </c>
      <c r="G25" s="13" t="s">
        <v>314</v>
      </c>
      <c r="J25" s="13" t="s">
        <v>398</v>
      </c>
      <c r="K25" s="13" t="s">
        <v>398</v>
      </c>
      <c r="M25" s="13" t="s">
        <v>398</v>
      </c>
    </row>
    <row r="26" spans="1:20">
      <c r="A26" s="13" t="s">
        <v>427</v>
      </c>
      <c r="C26" s="13" t="s">
        <v>159</v>
      </c>
      <c r="D26" s="13" t="s">
        <v>112</v>
      </c>
      <c r="E26" s="13" t="s">
        <v>314</v>
      </c>
      <c r="F26" s="13" t="s">
        <v>126</v>
      </c>
      <c r="G26" s="13" t="s">
        <v>315</v>
      </c>
      <c r="J26" s="13" t="s">
        <v>427</v>
      </c>
      <c r="K26" s="13" t="s">
        <v>427</v>
      </c>
      <c r="M26" s="13" t="s">
        <v>427</v>
      </c>
    </row>
    <row r="27" spans="1:20">
      <c r="A27" s="13" t="s">
        <v>428</v>
      </c>
      <c r="C27" s="13" t="s">
        <v>202</v>
      </c>
      <c r="D27" s="13" t="s">
        <v>113</v>
      </c>
      <c r="E27" s="13" t="s">
        <v>315</v>
      </c>
      <c r="F27" s="13" t="s">
        <v>127</v>
      </c>
      <c r="G27" s="13" t="s">
        <v>316</v>
      </c>
      <c r="J27" s="13" t="s">
        <v>428</v>
      </c>
      <c r="K27" s="13" t="s">
        <v>428</v>
      </c>
      <c r="M27" s="13" t="s">
        <v>428</v>
      </c>
    </row>
    <row r="28" spans="1:20">
      <c r="A28" s="13" t="s">
        <v>292</v>
      </c>
      <c r="C28" s="13" t="s">
        <v>260</v>
      </c>
      <c r="D28" s="13" t="s">
        <v>114</v>
      </c>
      <c r="E28" s="13" t="s">
        <v>316</v>
      </c>
      <c r="F28" s="13" t="s">
        <v>128</v>
      </c>
      <c r="G28" s="13" t="s">
        <v>317</v>
      </c>
      <c r="J28" s="13" t="s">
        <v>292</v>
      </c>
      <c r="K28" s="13"/>
    </row>
    <row r="29" spans="1:20">
      <c r="A29" s="13" t="s">
        <v>293</v>
      </c>
      <c r="C29" s="13" t="s">
        <v>261</v>
      </c>
      <c r="D29" s="13" t="s">
        <v>115</v>
      </c>
      <c r="E29" s="13" t="s">
        <v>317</v>
      </c>
      <c r="F29" s="13" t="s">
        <v>129</v>
      </c>
      <c r="G29" s="13" t="s">
        <v>318</v>
      </c>
      <c r="J29" s="13" t="s">
        <v>293</v>
      </c>
      <c r="K29" s="13"/>
    </row>
    <row r="30" spans="1:20">
      <c r="A30" s="13" t="s">
        <v>294</v>
      </c>
      <c r="C30" s="13" t="s">
        <v>262</v>
      </c>
      <c r="D30" s="13" t="s">
        <v>116</v>
      </c>
      <c r="E30" s="13" t="s">
        <v>318</v>
      </c>
      <c r="F30" s="13" t="s">
        <v>130</v>
      </c>
      <c r="G30" s="13" t="s">
        <v>319</v>
      </c>
      <c r="J30" s="13" t="s">
        <v>294</v>
      </c>
      <c r="K30" s="13"/>
    </row>
    <row r="31" spans="1:20">
      <c r="A31" s="13" t="s">
        <v>295</v>
      </c>
      <c r="C31" s="13" t="s">
        <v>324</v>
      </c>
      <c r="D31" s="13" t="s">
        <v>117</v>
      </c>
      <c r="E31" s="13" t="s">
        <v>319</v>
      </c>
      <c r="F31" s="13" t="s">
        <v>131</v>
      </c>
      <c r="G31" s="13" t="s">
        <v>320</v>
      </c>
      <c r="J31" s="13" t="s">
        <v>295</v>
      </c>
      <c r="K31" s="13"/>
    </row>
    <row r="32" spans="1:20">
      <c r="A32" s="13" t="s">
        <v>296</v>
      </c>
      <c r="C32" s="13" t="s">
        <v>338</v>
      </c>
      <c r="D32" s="13" t="s">
        <v>118</v>
      </c>
      <c r="E32" s="13" t="s">
        <v>320</v>
      </c>
      <c r="F32" s="13" t="s">
        <v>132</v>
      </c>
      <c r="G32" s="13" t="s">
        <v>321</v>
      </c>
      <c r="J32" s="13" t="s">
        <v>296</v>
      </c>
      <c r="K32" s="13"/>
    </row>
    <row r="33" spans="1:11">
      <c r="A33" s="13" t="s">
        <v>297</v>
      </c>
      <c r="C33" s="13" t="s">
        <v>339</v>
      </c>
      <c r="D33" s="13" t="s">
        <v>98</v>
      </c>
      <c r="E33" s="13" t="s">
        <v>321</v>
      </c>
      <c r="F33" s="13" t="s">
        <v>133</v>
      </c>
      <c r="G33" s="13" t="s">
        <v>322</v>
      </c>
      <c r="J33" s="13" t="s">
        <v>297</v>
      </c>
      <c r="K33" s="13"/>
    </row>
    <row r="34" spans="1:11">
      <c r="A34" s="13" t="s">
        <v>298</v>
      </c>
      <c r="C34" s="13" t="s">
        <v>340</v>
      </c>
      <c r="D34" s="13" t="s">
        <v>119</v>
      </c>
      <c r="E34" s="13" t="s">
        <v>322</v>
      </c>
      <c r="F34" s="13" t="s">
        <v>134</v>
      </c>
      <c r="G34" s="13" t="s">
        <v>323</v>
      </c>
      <c r="J34" s="13" t="s">
        <v>298</v>
      </c>
      <c r="K34" s="13"/>
    </row>
    <row r="35" spans="1:11">
      <c r="C35" s="13" t="s">
        <v>341</v>
      </c>
      <c r="D35" s="13" t="s">
        <v>120</v>
      </c>
      <c r="E35" s="13" t="s">
        <v>323</v>
      </c>
      <c r="F35" s="13" t="s">
        <v>135</v>
      </c>
      <c r="G35" s="13" t="s">
        <v>324</v>
      </c>
      <c r="J35" s="55" t="s">
        <v>1006</v>
      </c>
    </row>
    <row r="36" spans="1:11">
      <c r="C36" s="13" t="s">
        <v>342</v>
      </c>
      <c r="D36" s="13" t="s">
        <v>121</v>
      </c>
      <c r="E36" s="13" t="s">
        <v>324</v>
      </c>
      <c r="F36" s="13" t="s">
        <v>136</v>
      </c>
      <c r="G36" s="13" t="s">
        <v>325</v>
      </c>
      <c r="J36" s="45" t="s">
        <v>231</v>
      </c>
    </row>
    <row r="37" spans="1:11">
      <c r="C37" s="13" t="s">
        <v>343</v>
      </c>
      <c r="D37" s="13" t="s">
        <v>122</v>
      </c>
      <c r="E37" s="13" t="s">
        <v>325</v>
      </c>
      <c r="F37" s="13" t="s">
        <v>137</v>
      </c>
      <c r="G37" s="13" t="s">
        <v>326</v>
      </c>
      <c r="J37" s="45" t="s">
        <v>232</v>
      </c>
    </row>
    <row r="38" spans="1:11">
      <c r="C38" s="13" t="s">
        <v>344</v>
      </c>
      <c r="D38" s="13" t="s">
        <v>123</v>
      </c>
      <c r="E38" s="13" t="s">
        <v>326</v>
      </c>
      <c r="F38" s="13" t="s">
        <v>138</v>
      </c>
      <c r="G38" s="13" t="s">
        <v>327</v>
      </c>
      <c r="J38" s="45" t="s">
        <v>233</v>
      </c>
    </row>
    <row r="39" spans="1:11">
      <c r="C39" s="13" t="s">
        <v>345</v>
      </c>
      <c r="D39" s="13" t="s">
        <v>124</v>
      </c>
      <c r="E39" s="13" t="s">
        <v>327</v>
      </c>
      <c r="F39" s="13" t="s">
        <v>139</v>
      </c>
      <c r="G39" s="13" t="s">
        <v>328</v>
      </c>
      <c r="J39" s="45" t="s">
        <v>234</v>
      </c>
    </row>
    <row r="40" spans="1:11">
      <c r="C40" s="13" t="s">
        <v>346</v>
      </c>
      <c r="D40" s="13" t="s">
        <v>125</v>
      </c>
      <c r="E40" s="13" t="s">
        <v>328</v>
      </c>
      <c r="F40" s="13" t="s">
        <v>140</v>
      </c>
      <c r="G40" s="13" t="s">
        <v>329</v>
      </c>
      <c r="J40" s="45" t="s">
        <v>235</v>
      </c>
    </row>
    <row r="41" spans="1:11">
      <c r="C41" s="13" t="s">
        <v>347</v>
      </c>
      <c r="D41" s="13" t="s">
        <v>126</v>
      </c>
      <c r="E41" s="13" t="s">
        <v>329</v>
      </c>
      <c r="F41" s="13" t="s">
        <v>141</v>
      </c>
      <c r="G41" s="13" t="s">
        <v>330</v>
      </c>
      <c r="J41" s="45" t="s">
        <v>236</v>
      </c>
    </row>
    <row r="42" spans="1:11">
      <c r="C42" s="13" t="s">
        <v>348</v>
      </c>
      <c r="D42" s="13" t="s">
        <v>127</v>
      </c>
      <c r="E42" s="13" t="s">
        <v>330</v>
      </c>
      <c r="F42" s="13" t="s">
        <v>142</v>
      </c>
      <c r="G42" s="13" t="s">
        <v>331</v>
      </c>
      <c r="J42" s="45" t="s">
        <v>237</v>
      </c>
    </row>
    <row r="43" spans="1:11">
      <c r="C43" s="13" t="s">
        <v>349</v>
      </c>
      <c r="D43" s="13" t="s">
        <v>128</v>
      </c>
      <c r="E43" s="13" t="s">
        <v>331</v>
      </c>
      <c r="F43" s="13" t="s">
        <v>143</v>
      </c>
      <c r="G43" s="13" t="s">
        <v>332</v>
      </c>
      <c r="J43" s="45" t="s">
        <v>238</v>
      </c>
    </row>
    <row r="44" spans="1:11">
      <c r="C44" s="13" t="s">
        <v>412</v>
      </c>
      <c r="D44" s="13" t="s">
        <v>129</v>
      </c>
      <c r="E44" s="13" t="s">
        <v>332</v>
      </c>
      <c r="F44" s="13" t="s">
        <v>144</v>
      </c>
      <c r="G44" s="13" t="s">
        <v>333</v>
      </c>
      <c r="J44" s="45" t="s">
        <v>239</v>
      </c>
    </row>
    <row r="45" spans="1:11">
      <c r="C45" s="13" t="s">
        <v>278</v>
      </c>
      <c r="D45" s="13" t="s">
        <v>130</v>
      </c>
      <c r="E45" s="13" t="s">
        <v>333</v>
      </c>
      <c r="F45" s="13" t="s">
        <v>145</v>
      </c>
      <c r="G45" s="13" t="s">
        <v>334</v>
      </c>
      <c r="J45" s="13" t="s">
        <v>152</v>
      </c>
    </row>
    <row r="46" spans="1:11">
      <c r="C46" s="13" t="s">
        <v>279</v>
      </c>
      <c r="D46" s="13" t="s">
        <v>131</v>
      </c>
      <c r="E46" s="13" t="s">
        <v>334</v>
      </c>
      <c r="F46" s="13" t="s">
        <v>146</v>
      </c>
      <c r="G46" s="13" t="s">
        <v>335</v>
      </c>
      <c r="J46" s="13" t="s">
        <v>153</v>
      </c>
    </row>
    <row r="47" spans="1:11">
      <c r="C47" s="13" t="s">
        <v>280</v>
      </c>
      <c r="D47" s="13" t="s">
        <v>132</v>
      </c>
      <c r="E47" s="13" t="s">
        <v>335</v>
      </c>
      <c r="F47" s="13" t="s">
        <v>147</v>
      </c>
      <c r="G47" s="13" t="s">
        <v>336</v>
      </c>
      <c r="J47" s="13" t="s">
        <v>154</v>
      </c>
    </row>
    <row r="48" spans="1:11">
      <c r="C48" s="13" t="s">
        <v>281</v>
      </c>
      <c r="D48" s="13" t="s">
        <v>133</v>
      </c>
      <c r="E48" s="13" t="s">
        <v>336</v>
      </c>
      <c r="F48" s="13" t="s">
        <v>148</v>
      </c>
      <c r="G48" s="13" t="s">
        <v>337</v>
      </c>
      <c r="J48" s="13" t="s">
        <v>155</v>
      </c>
    </row>
    <row r="49" spans="3:10">
      <c r="C49" s="13" t="s">
        <v>282</v>
      </c>
      <c r="D49" s="13" t="s">
        <v>134</v>
      </c>
      <c r="E49" s="13" t="s">
        <v>337</v>
      </c>
      <c r="F49" s="13" t="s">
        <v>149</v>
      </c>
      <c r="G49" s="13" t="s">
        <v>338</v>
      </c>
      <c r="J49" s="13" t="s">
        <v>156</v>
      </c>
    </row>
    <row r="50" spans="3:10">
      <c r="C50" s="13" t="s">
        <v>283</v>
      </c>
      <c r="D50" s="13" t="s">
        <v>135</v>
      </c>
      <c r="E50" s="13" t="s">
        <v>338</v>
      </c>
      <c r="F50" s="13" t="s">
        <v>150</v>
      </c>
      <c r="G50" s="13" t="s">
        <v>339</v>
      </c>
      <c r="J50" s="13" t="s">
        <v>157</v>
      </c>
    </row>
    <row r="51" spans="3:10">
      <c r="C51" s="13" t="s">
        <v>284</v>
      </c>
      <c r="D51" s="13" t="s">
        <v>136</v>
      </c>
      <c r="E51" s="13" t="s">
        <v>339</v>
      </c>
      <c r="F51" s="13" t="s">
        <v>151</v>
      </c>
      <c r="G51" s="13" t="s">
        <v>340</v>
      </c>
      <c r="J51" s="13" t="s">
        <v>158</v>
      </c>
    </row>
    <row r="52" spans="3:10">
      <c r="C52" s="13" t="s">
        <v>285</v>
      </c>
      <c r="D52" s="13" t="s">
        <v>137</v>
      </c>
      <c r="E52" s="13" t="s">
        <v>340</v>
      </c>
      <c r="F52" s="13" t="s">
        <v>152</v>
      </c>
      <c r="G52" s="13" t="s">
        <v>341</v>
      </c>
      <c r="J52" s="13" t="s">
        <v>159</v>
      </c>
    </row>
    <row r="53" spans="3:10">
      <c r="C53" s="13" t="s">
        <v>286</v>
      </c>
      <c r="D53" s="13" t="s">
        <v>138</v>
      </c>
      <c r="E53" s="13" t="s">
        <v>341</v>
      </c>
      <c r="F53" s="13" t="s">
        <v>153</v>
      </c>
      <c r="G53" s="13" t="s">
        <v>342</v>
      </c>
      <c r="J53" s="13" t="s">
        <v>291</v>
      </c>
    </row>
    <row r="54" spans="3:10">
      <c r="C54" s="13" t="s">
        <v>287</v>
      </c>
      <c r="D54" s="13" t="s">
        <v>139</v>
      </c>
      <c r="E54" s="13" t="s">
        <v>342</v>
      </c>
      <c r="F54" s="13" t="s">
        <v>154</v>
      </c>
      <c r="G54" s="13" t="s">
        <v>343</v>
      </c>
      <c r="J54" s="13" t="s">
        <v>342</v>
      </c>
    </row>
    <row r="55" spans="3:10">
      <c r="C55" s="13" t="s">
        <v>288</v>
      </c>
      <c r="D55" s="13" t="s">
        <v>140</v>
      </c>
      <c r="E55" s="13" t="s">
        <v>343</v>
      </c>
      <c r="F55" s="13" t="s">
        <v>155</v>
      </c>
      <c r="G55" s="13" t="s">
        <v>344</v>
      </c>
      <c r="J55" s="13" t="s">
        <v>343</v>
      </c>
    </row>
    <row r="56" spans="3:10">
      <c r="C56" s="13" t="s">
        <v>289</v>
      </c>
      <c r="D56" s="13" t="s">
        <v>141</v>
      </c>
      <c r="E56" s="13" t="s">
        <v>344</v>
      </c>
      <c r="F56" s="13" t="s">
        <v>156</v>
      </c>
      <c r="G56" s="13" t="s">
        <v>345</v>
      </c>
      <c r="J56" s="45" t="s">
        <v>218</v>
      </c>
    </row>
    <row r="57" spans="3:10">
      <c r="C57" s="13" t="s">
        <v>290</v>
      </c>
      <c r="D57" s="13" t="s">
        <v>142</v>
      </c>
      <c r="E57" s="13" t="s">
        <v>345</v>
      </c>
      <c r="F57" s="13" t="s">
        <v>157</v>
      </c>
      <c r="G57" s="13" t="s">
        <v>346</v>
      </c>
      <c r="J57" s="45" t="s">
        <v>219</v>
      </c>
    </row>
    <row r="58" spans="3:10">
      <c r="C58" s="13" t="s">
        <v>291</v>
      </c>
      <c r="D58" s="13" t="s">
        <v>143</v>
      </c>
      <c r="E58" s="13" t="s">
        <v>346</v>
      </c>
      <c r="F58" s="13" t="s">
        <v>158</v>
      </c>
      <c r="G58" s="13" t="s">
        <v>347</v>
      </c>
      <c r="J58" s="45" t="s">
        <v>226</v>
      </c>
    </row>
    <row r="59" spans="3:10">
      <c r="C59" s="13" t="s">
        <v>292</v>
      </c>
      <c r="D59" s="13" t="s">
        <v>144</v>
      </c>
      <c r="E59" s="13" t="s">
        <v>347</v>
      </c>
      <c r="F59" s="13" t="s">
        <v>159</v>
      </c>
      <c r="G59" s="13" t="s">
        <v>348</v>
      </c>
      <c r="J59" s="45" t="s">
        <v>227</v>
      </c>
    </row>
    <row r="60" spans="3:10">
      <c r="C60" s="13" t="s">
        <v>293</v>
      </c>
      <c r="D60" s="13" t="s">
        <v>145</v>
      </c>
      <c r="E60" s="13" t="s">
        <v>348</v>
      </c>
      <c r="F60" s="13" t="s">
        <v>160</v>
      </c>
      <c r="G60" s="13" t="s">
        <v>349</v>
      </c>
      <c r="J60" s="45" t="s">
        <v>231</v>
      </c>
    </row>
    <row r="61" spans="3:10">
      <c r="C61" s="13" t="s">
        <v>294</v>
      </c>
      <c r="D61" s="13" t="s">
        <v>146</v>
      </c>
      <c r="E61" s="13" t="s">
        <v>349</v>
      </c>
      <c r="F61" s="13" t="s">
        <v>161</v>
      </c>
      <c r="G61" s="13" t="s">
        <v>350</v>
      </c>
      <c r="J61" s="45" t="s">
        <v>232</v>
      </c>
    </row>
    <row r="62" spans="3:10">
      <c r="C62" s="13" t="s">
        <v>295</v>
      </c>
      <c r="D62" s="13" t="s">
        <v>147</v>
      </c>
      <c r="E62" s="13" t="s">
        <v>350</v>
      </c>
      <c r="F62" s="13" t="s">
        <v>162</v>
      </c>
      <c r="G62" s="13" t="s">
        <v>351</v>
      </c>
      <c r="J62" s="45" t="s">
        <v>233</v>
      </c>
    </row>
    <row r="63" spans="3:10">
      <c r="C63" s="13" t="s">
        <v>296</v>
      </c>
      <c r="D63" s="13" t="s">
        <v>148</v>
      </c>
      <c r="E63" s="13" t="s">
        <v>351</v>
      </c>
      <c r="F63" s="13" t="s">
        <v>163</v>
      </c>
      <c r="G63" s="13" t="s">
        <v>352</v>
      </c>
      <c r="J63" s="45" t="s">
        <v>234</v>
      </c>
    </row>
    <row r="64" spans="3:10">
      <c r="C64" s="13" t="s">
        <v>297</v>
      </c>
      <c r="D64" s="13" t="s">
        <v>149</v>
      </c>
      <c r="E64" s="13" t="s">
        <v>352</v>
      </c>
      <c r="F64" s="13" t="s">
        <v>164</v>
      </c>
      <c r="G64" s="13" t="s">
        <v>353</v>
      </c>
      <c r="J64" s="45" t="s">
        <v>235</v>
      </c>
    </row>
    <row r="65" spans="3:10">
      <c r="C65" s="13" t="s">
        <v>298</v>
      </c>
      <c r="D65" s="13" t="s">
        <v>150</v>
      </c>
      <c r="E65" s="13" t="s">
        <v>353</v>
      </c>
      <c r="F65" s="13" t="s">
        <v>165</v>
      </c>
      <c r="G65" s="13" t="s">
        <v>354</v>
      </c>
      <c r="J65" s="45" t="s">
        <v>236</v>
      </c>
    </row>
    <row r="66" spans="3:10">
      <c r="C66" s="13" t="s">
        <v>299</v>
      </c>
      <c r="D66" s="13" t="s">
        <v>151</v>
      </c>
      <c r="E66" s="13" t="s">
        <v>354</v>
      </c>
      <c r="F66" s="13" t="s">
        <v>166</v>
      </c>
      <c r="G66" s="13" t="s">
        <v>355</v>
      </c>
      <c r="J66" s="45" t="s">
        <v>237</v>
      </c>
    </row>
    <row r="67" spans="3:10">
      <c r="C67" s="13" t="s">
        <v>300</v>
      </c>
      <c r="D67" s="13" t="s">
        <v>152</v>
      </c>
      <c r="E67" s="13" t="s">
        <v>355</v>
      </c>
      <c r="F67" s="13" t="s">
        <v>167</v>
      </c>
      <c r="G67" s="13" t="s">
        <v>356</v>
      </c>
      <c r="J67" s="45" t="s">
        <v>238</v>
      </c>
    </row>
    <row r="68" spans="3:10">
      <c r="C68" s="13" t="s">
        <v>301</v>
      </c>
      <c r="D68" s="13" t="s">
        <v>153</v>
      </c>
      <c r="E68" s="13" t="s">
        <v>356</v>
      </c>
      <c r="F68" s="13" t="s">
        <v>168</v>
      </c>
      <c r="G68" s="13" t="s">
        <v>357</v>
      </c>
      <c r="J68" s="45" t="s">
        <v>239</v>
      </c>
    </row>
    <row r="69" spans="3:10">
      <c r="C69" s="13" t="s">
        <v>302</v>
      </c>
      <c r="D69" s="13" t="s">
        <v>154</v>
      </c>
      <c r="E69" s="13" t="s">
        <v>357</v>
      </c>
      <c r="F69" s="13" t="s">
        <v>169</v>
      </c>
      <c r="G69" s="13" t="s">
        <v>358</v>
      </c>
      <c r="J69" s="13" t="s">
        <v>291</v>
      </c>
    </row>
    <row r="70" spans="3:10">
      <c r="C70" s="13" t="s">
        <v>303</v>
      </c>
      <c r="D70" s="13" t="s">
        <v>155</v>
      </c>
      <c r="E70" s="13" t="s">
        <v>358</v>
      </c>
      <c r="F70" s="13" t="s">
        <v>170</v>
      </c>
      <c r="G70" s="13" t="s">
        <v>359</v>
      </c>
      <c r="J70" s="13" t="s">
        <v>292</v>
      </c>
    </row>
    <row r="71" spans="3:10">
      <c r="C71" s="13" t="s">
        <v>304</v>
      </c>
      <c r="D71" s="13" t="s">
        <v>156</v>
      </c>
      <c r="E71" s="13" t="s">
        <v>359</v>
      </c>
      <c r="F71" s="13" t="s">
        <v>171</v>
      </c>
      <c r="G71" s="13" t="s">
        <v>360</v>
      </c>
      <c r="J71" s="13" t="s">
        <v>293</v>
      </c>
    </row>
    <row r="72" spans="3:10">
      <c r="C72" s="13" t="s">
        <v>305</v>
      </c>
      <c r="D72" s="13" t="s">
        <v>157</v>
      </c>
      <c r="E72" s="13" t="s">
        <v>360</v>
      </c>
      <c r="F72" s="13" t="s">
        <v>172</v>
      </c>
      <c r="G72" s="13" t="s">
        <v>361</v>
      </c>
      <c r="J72" s="13" t="s">
        <v>294</v>
      </c>
    </row>
    <row r="73" spans="3:10">
      <c r="C73" s="13" t="s">
        <v>306</v>
      </c>
      <c r="D73" s="13" t="s">
        <v>158</v>
      </c>
      <c r="E73" s="13" t="s">
        <v>361</v>
      </c>
      <c r="F73" s="13" t="s">
        <v>173</v>
      </c>
      <c r="G73" s="13" t="s">
        <v>362</v>
      </c>
      <c r="J73" s="13" t="s">
        <v>295</v>
      </c>
    </row>
    <row r="74" spans="3:10">
      <c r="C74" s="13" t="s">
        <v>307</v>
      </c>
      <c r="D74" s="13" t="s">
        <v>159</v>
      </c>
      <c r="E74" s="13" t="s">
        <v>362</v>
      </c>
      <c r="F74" s="13" t="s">
        <v>174</v>
      </c>
      <c r="G74" s="13" t="s">
        <v>363</v>
      </c>
      <c r="J74" s="13" t="s">
        <v>296</v>
      </c>
    </row>
    <row r="75" spans="3:10">
      <c r="D75" s="13" t="s">
        <v>160</v>
      </c>
      <c r="E75" s="13" t="s">
        <v>363</v>
      </c>
      <c r="F75" s="13" t="s">
        <v>175</v>
      </c>
      <c r="G75" s="13" t="s">
        <v>364</v>
      </c>
      <c r="J75" s="13" t="s">
        <v>297</v>
      </c>
    </row>
    <row r="76" spans="3:10">
      <c r="D76" s="13" t="s">
        <v>161</v>
      </c>
      <c r="E76" s="13" t="s">
        <v>364</v>
      </c>
      <c r="F76" s="13" t="s">
        <v>176</v>
      </c>
      <c r="G76" s="13" t="s">
        <v>365</v>
      </c>
      <c r="J76" s="13" t="s">
        <v>298</v>
      </c>
    </row>
    <row r="77" spans="3:10">
      <c r="D77" s="13" t="s">
        <v>162</v>
      </c>
      <c r="E77" s="13" t="s">
        <v>365</v>
      </c>
      <c r="F77" s="13" t="s">
        <v>177</v>
      </c>
      <c r="G77" s="13" t="s">
        <v>366</v>
      </c>
      <c r="J77" s="13" t="s">
        <v>342</v>
      </c>
    </row>
    <row r="78" spans="3:10">
      <c r="D78" s="13" t="s">
        <v>163</v>
      </c>
      <c r="E78" s="13" t="s">
        <v>366</v>
      </c>
      <c r="F78" s="13" t="s">
        <v>178</v>
      </c>
      <c r="G78" s="13" t="s">
        <v>367</v>
      </c>
      <c r="J78" s="13" t="s">
        <v>343</v>
      </c>
    </row>
    <row r="79" spans="3:10">
      <c r="D79" s="13" t="s">
        <v>164</v>
      </c>
      <c r="E79" s="13" t="s">
        <v>367</v>
      </c>
      <c r="F79" s="13" t="s">
        <v>179</v>
      </c>
      <c r="G79" s="13" t="s">
        <v>368</v>
      </c>
    </row>
    <row r="80" spans="3:10">
      <c r="D80" s="13" t="s">
        <v>165</v>
      </c>
      <c r="E80" s="13" t="s">
        <v>368</v>
      </c>
      <c r="F80" s="13" t="s">
        <v>180</v>
      </c>
      <c r="G80" s="13" t="s">
        <v>369</v>
      </c>
    </row>
    <row r="81" spans="4:7">
      <c r="D81" s="13" t="s">
        <v>166</v>
      </c>
      <c r="E81" s="13" t="s">
        <v>369</v>
      </c>
      <c r="F81" s="13" t="s">
        <v>181</v>
      </c>
      <c r="G81" s="13" t="s">
        <v>370</v>
      </c>
    </row>
    <row r="82" spans="4:7">
      <c r="D82" s="13" t="s">
        <v>167</v>
      </c>
      <c r="E82" s="13" t="s">
        <v>370</v>
      </c>
      <c r="F82" s="13" t="s">
        <v>182</v>
      </c>
      <c r="G82" s="13" t="s">
        <v>371</v>
      </c>
    </row>
    <row r="83" spans="4:7">
      <c r="D83" s="13" t="s">
        <v>168</v>
      </c>
      <c r="E83" s="13" t="s">
        <v>371</v>
      </c>
      <c r="F83" s="13" t="s">
        <v>183</v>
      </c>
      <c r="G83" s="13" t="s">
        <v>372</v>
      </c>
    </row>
    <row r="84" spans="4:7">
      <c r="D84" s="13" t="s">
        <v>169</v>
      </c>
      <c r="E84" s="13" t="s">
        <v>372</v>
      </c>
      <c r="F84" s="13" t="s">
        <v>184</v>
      </c>
      <c r="G84" s="13" t="s">
        <v>373</v>
      </c>
    </row>
    <row r="85" spans="4:7">
      <c r="D85" s="13" t="s">
        <v>170</v>
      </c>
      <c r="E85" s="13" t="s">
        <v>373</v>
      </c>
      <c r="F85" s="13" t="s">
        <v>185</v>
      </c>
      <c r="G85" s="13" t="s">
        <v>374</v>
      </c>
    </row>
    <row r="86" spans="4:7">
      <c r="D86" s="13" t="s">
        <v>171</v>
      </c>
      <c r="E86" s="13" t="s">
        <v>374</v>
      </c>
      <c r="F86" s="13" t="s">
        <v>186</v>
      </c>
      <c r="G86" s="13" t="s">
        <v>375</v>
      </c>
    </row>
    <row r="87" spans="4:7">
      <c r="D87" s="13" t="s">
        <v>172</v>
      </c>
      <c r="E87" s="13" t="s">
        <v>375</v>
      </c>
      <c r="F87" s="13" t="s">
        <v>187</v>
      </c>
      <c r="G87" s="13" t="s">
        <v>376</v>
      </c>
    </row>
    <row r="88" spans="4:7">
      <c r="D88" s="13" t="s">
        <v>173</v>
      </c>
      <c r="E88" s="13" t="s">
        <v>376</v>
      </c>
      <c r="F88" s="13" t="s">
        <v>188</v>
      </c>
      <c r="G88" s="13" t="s">
        <v>377</v>
      </c>
    </row>
    <row r="89" spans="4:7">
      <c r="D89" s="13" t="s">
        <v>174</v>
      </c>
      <c r="E89" s="13" t="s">
        <v>377</v>
      </c>
      <c r="F89" s="13" t="s">
        <v>189</v>
      </c>
      <c r="G89" s="13" t="s">
        <v>378</v>
      </c>
    </row>
    <row r="90" spans="4:7">
      <c r="D90" s="13" t="s">
        <v>175</v>
      </c>
      <c r="E90" s="13" t="s">
        <v>378</v>
      </c>
      <c r="F90" s="13" t="s">
        <v>190</v>
      </c>
      <c r="G90" s="13" t="s">
        <v>379</v>
      </c>
    </row>
    <row r="91" spans="4:7">
      <c r="D91" s="13" t="s">
        <v>176</v>
      </c>
      <c r="E91" s="13" t="s">
        <v>379</v>
      </c>
      <c r="F91" s="13" t="s">
        <v>191</v>
      </c>
      <c r="G91" s="13" t="s">
        <v>380</v>
      </c>
    </row>
    <row r="92" spans="4:7">
      <c r="D92" s="13" t="s">
        <v>177</v>
      </c>
      <c r="E92" s="13" t="s">
        <v>380</v>
      </c>
      <c r="F92" s="13" t="s">
        <v>192</v>
      </c>
      <c r="G92" s="13" t="s">
        <v>381</v>
      </c>
    </row>
    <row r="93" spans="4:7">
      <c r="D93" s="13" t="s">
        <v>178</v>
      </c>
      <c r="E93" s="13" t="s">
        <v>381</v>
      </c>
      <c r="F93" s="13" t="s">
        <v>193</v>
      </c>
      <c r="G93" s="13" t="s">
        <v>382</v>
      </c>
    </row>
    <row r="94" spans="4:7">
      <c r="D94" s="13" t="s">
        <v>179</v>
      </c>
      <c r="E94" s="13" t="s">
        <v>382</v>
      </c>
      <c r="F94" s="13" t="s">
        <v>194</v>
      </c>
      <c r="G94" s="13" t="s">
        <v>383</v>
      </c>
    </row>
    <row r="95" spans="4:7">
      <c r="D95" s="13" t="s">
        <v>180</v>
      </c>
      <c r="E95" s="13" t="s">
        <v>383</v>
      </c>
      <c r="F95" s="13" t="s">
        <v>195</v>
      </c>
      <c r="G95" s="13" t="s">
        <v>384</v>
      </c>
    </row>
    <row r="96" spans="4:7">
      <c r="D96" s="13" t="s">
        <v>181</v>
      </c>
      <c r="E96" s="13" t="s">
        <v>384</v>
      </c>
      <c r="F96" s="13" t="s">
        <v>196</v>
      </c>
      <c r="G96" s="13" t="s">
        <v>385</v>
      </c>
    </row>
    <row r="97" spans="4:7">
      <c r="D97" s="13" t="s">
        <v>182</v>
      </c>
      <c r="E97" s="13" t="s">
        <v>385</v>
      </c>
      <c r="F97" s="13" t="s">
        <v>197</v>
      </c>
      <c r="G97" s="13" t="s">
        <v>386</v>
      </c>
    </row>
    <row r="98" spans="4:7">
      <c r="D98" s="13" t="s">
        <v>183</v>
      </c>
      <c r="E98" s="13" t="s">
        <v>386</v>
      </c>
      <c r="F98" s="13" t="s">
        <v>198</v>
      </c>
      <c r="G98" s="13" t="s">
        <v>387</v>
      </c>
    </row>
    <row r="99" spans="4:7">
      <c r="D99" s="13" t="s">
        <v>184</v>
      </c>
      <c r="E99" s="13" t="s">
        <v>387</v>
      </c>
      <c r="F99" s="13" t="s">
        <v>199</v>
      </c>
      <c r="G99" s="13" t="s">
        <v>388</v>
      </c>
    </row>
    <row r="100" spans="4:7">
      <c r="D100" s="13" t="s">
        <v>185</v>
      </c>
      <c r="E100" s="13" t="s">
        <v>388</v>
      </c>
      <c r="F100" s="13" t="s">
        <v>200</v>
      </c>
      <c r="G100" s="13" t="s">
        <v>389</v>
      </c>
    </row>
    <row r="101" spans="4:7">
      <c r="D101" s="13" t="s">
        <v>186</v>
      </c>
      <c r="E101" s="13" t="s">
        <v>389</v>
      </c>
      <c r="F101" s="13" t="s">
        <v>201</v>
      </c>
      <c r="G101" s="13" t="s">
        <v>390</v>
      </c>
    </row>
    <row r="102" spans="4:7">
      <c r="D102" s="13" t="s">
        <v>187</v>
      </c>
      <c r="E102" s="13" t="s">
        <v>390</v>
      </c>
      <c r="F102" s="13" t="s">
        <v>202</v>
      </c>
      <c r="G102" s="13" t="s">
        <v>391</v>
      </c>
    </row>
    <row r="103" spans="4:7">
      <c r="D103" s="13" t="s">
        <v>188</v>
      </c>
      <c r="E103" s="13" t="s">
        <v>391</v>
      </c>
      <c r="F103" s="13" t="s">
        <v>203</v>
      </c>
      <c r="G103" s="13" t="s">
        <v>392</v>
      </c>
    </row>
    <row r="104" spans="4:7">
      <c r="D104" s="13" t="s">
        <v>189</v>
      </c>
      <c r="E104" s="13" t="s">
        <v>392</v>
      </c>
      <c r="F104" s="13" t="s">
        <v>204</v>
      </c>
      <c r="G104" s="13" t="s">
        <v>393</v>
      </c>
    </row>
    <row r="105" spans="4:7">
      <c r="D105" s="13" t="s">
        <v>190</v>
      </c>
      <c r="E105" s="13" t="s">
        <v>393</v>
      </c>
      <c r="F105" s="13" t="s">
        <v>205</v>
      </c>
      <c r="G105" s="13" t="s">
        <v>394</v>
      </c>
    </row>
    <row r="106" spans="4:7">
      <c r="D106" s="13" t="s">
        <v>191</v>
      </c>
      <c r="E106" s="13" t="s">
        <v>394</v>
      </c>
      <c r="F106" s="13" t="s">
        <v>206</v>
      </c>
      <c r="G106" s="13" t="s">
        <v>395</v>
      </c>
    </row>
    <row r="107" spans="4:7">
      <c r="D107" s="13" t="s">
        <v>192</v>
      </c>
      <c r="E107" s="13" t="s">
        <v>395</v>
      </c>
      <c r="F107" s="13" t="s">
        <v>207</v>
      </c>
      <c r="G107" s="13" t="s">
        <v>396</v>
      </c>
    </row>
    <row r="108" spans="4:7">
      <c r="D108" s="13" t="s">
        <v>193</v>
      </c>
      <c r="E108" s="13" t="s">
        <v>396</v>
      </c>
      <c r="F108" s="13" t="s">
        <v>208</v>
      </c>
      <c r="G108" s="13" t="s">
        <v>397</v>
      </c>
    </row>
    <row r="109" spans="4:7">
      <c r="D109" s="13" t="s">
        <v>194</v>
      </c>
      <c r="E109" s="13" t="s">
        <v>397</v>
      </c>
      <c r="F109" s="13" t="s">
        <v>209</v>
      </c>
      <c r="G109" s="13" t="s">
        <v>398</v>
      </c>
    </row>
    <row r="110" spans="4:7">
      <c r="D110" s="13" t="s">
        <v>195</v>
      </c>
      <c r="E110" s="13" t="s">
        <v>398</v>
      </c>
      <c r="F110" s="13" t="s">
        <v>210</v>
      </c>
      <c r="G110" s="13" t="s">
        <v>399</v>
      </c>
    </row>
    <row r="111" spans="4:7">
      <c r="D111" s="13" t="s">
        <v>196</v>
      </c>
      <c r="E111" s="13" t="s">
        <v>399</v>
      </c>
      <c r="F111" s="13" t="s">
        <v>211</v>
      </c>
      <c r="G111" s="13" t="s">
        <v>400</v>
      </c>
    </row>
    <row r="112" spans="4:7">
      <c r="D112" s="13" t="s">
        <v>197</v>
      </c>
      <c r="E112" s="13" t="s">
        <v>400</v>
      </c>
      <c r="F112" s="13" t="s">
        <v>212</v>
      </c>
      <c r="G112" s="13" t="s">
        <v>401</v>
      </c>
    </row>
    <row r="113" spans="4:7">
      <c r="D113" s="13" t="s">
        <v>198</v>
      </c>
      <c r="E113" s="13" t="s">
        <v>401</v>
      </c>
      <c r="F113" s="13" t="s">
        <v>213</v>
      </c>
      <c r="G113" s="13" t="s">
        <v>402</v>
      </c>
    </row>
    <row r="114" spans="4:7">
      <c r="D114" s="13" t="s">
        <v>199</v>
      </c>
      <c r="E114" s="13" t="s">
        <v>402</v>
      </c>
      <c r="F114" s="13" t="s">
        <v>214</v>
      </c>
      <c r="G114" s="13" t="s">
        <v>403</v>
      </c>
    </row>
    <row r="115" spans="4:7">
      <c r="D115" s="13" t="s">
        <v>200</v>
      </c>
      <c r="E115" s="13" t="s">
        <v>403</v>
      </c>
      <c r="F115" s="13" t="s">
        <v>215</v>
      </c>
      <c r="G115" s="13" t="s">
        <v>404</v>
      </c>
    </row>
    <row r="116" spans="4:7">
      <c r="D116" s="13" t="s">
        <v>201</v>
      </c>
      <c r="E116" s="13" t="s">
        <v>404</v>
      </c>
      <c r="F116" s="13" t="s">
        <v>216</v>
      </c>
      <c r="G116" s="13" t="s">
        <v>405</v>
      </c>
    </row>
    <row r="117" spans="4:7">
      <c r="D117" s="13" t="s">
        <v>202</v>
      </c>
      <c r="E117" s="13" t="s">
        <v>405</v>
      </c>
      <c r="F117" s="13" t="s">
        <v>217</v>
      </c>
      <c r="G117" s="13" t="s">
        <v>406</v>
      </c>
    </row>
    <row r="118" spans="4:7">
      <c r="D118" s="13" t="s">
        <v>203</v>
      </c>
      <c r="E118" s="13" t="s">
        <v>406</v>
      </c>
      <c r="F118" s="13" t="s">
        <v>248</v>
      </c>
      <c r="G118" s="13" t="s">
        <v>407</v>
      </c>
    </row>
    <row r="119" spans="4:7">
      <c r="D119" s="13" t="s">
        <v>204</v>
      </c>
      <c r="E119" s="13" t="s">
        <v>407</v>
      </c>
      <c r="F119" s="13" t="s">
        <v>249</v>
      </c>
      <c r="G119" s="13" t="s">
        <v>408</v>
      </c>
    </row>
    <row r="120" spans="4:7">
      <c r="D120" s="13" t="s">
        <v>205</v>
      </c>
      <c r="E120" s="13" t="s">
        <v>408</v>
      </c>
      <c r="F120" s="13" t="s">
        <v>250</v>
      </c>
      <c r="G120" s="13" t="s">
        <v>409</v>
      </c>
    </row>
    <row r="121" spans="4:7">
      <c r="D121" s="13" t="s">
        <v>206</v>
      </c>
      <c r="E121" s="13" t="s">
        <v>409</v>
      </c>
      <c r="F121" s="13" t="s">
        <v>251</v>
      </c>
      <c r="G121" s="13" t="s">
        <v>410</v>
      </c>
    </row>
    <row r="122" spans="4:7">
      <c r="D122" s="13" t="s">
        <v>207</v>
      </c>
      <c r="E122" s="13" t="s">
        <v>410</v>
      </c>
      <c r="F122" s="13" t="s">
        <v>252</v>
      </c>
      <c r="G122" s="13" t="s">
        <v>411</v>
      </c>
    </row>
    <row r="123" spans="4:7">
      <c r="D123" s="13" t="s">
        <v>208</v>
      </c>
      <c r="E123" s="13" t="s">
        <v>411</v>
      </c>
      <c r="F123" s="13" t="s">
        <v>253</v>
      </c>
      <c r="G123" s="13" t="s">
        <v>412</v>
      </c>
    </row>
    <row r="124" spans="4:7">
      <c r="D124" s="13" t="s">
        <v>209</v>
      </c>
      <c r="E124" s="13" t="s">
        <v>412</v>
      </c>
      <c r="F124" s="13" t="s">
        <v>254</v>
      </c>
      <c r="G124" s="13" t="s">
        <v>413</v>
      </c>
    </row>
    <row r="125" spans="4:7">
      <c r="D125" s="13" t="s">
        <v>210</v>
      </c>
      <c r="E125" s="13" t="s">
        <v>413</v>
      </c>
      <c r="F125" s="13" t="s">
        <v>255</v>
      </c>
      <c r="G125" s="13" t="s">
        <v>414</v>
      </c>
    </row>
    <row r="126" spans="4:7">
      <c r="D126" s="13" t="s">
        <v>211</v>
      </c>
      <c r="E126" s="13" t="s">
        <v>414</v>
      </c>
      <c r="F126" s="13" t="s">
        <v>256</v>
      </c>
      <c r="G126" s="13" t="s">
        <v>415</v>
      </c>
    </row>
    <row r="127" spans="4:7">
      <c r="D127" s="13" t="s">
        <v>212</v>
      </c>
      <c r="E127" s="13" t="s">
        <v>415</v>
      </c>
      <c r="F127" s="13" t="s">
        <v>257</v>
      </c>
      <c r="G127" s="13" t="s">
        <v>416</v>
      </c>
    </row>
    <row r="128" spans="4:7">
      <c r="D128" s="13" t="s">
        <v>213</v>
      </c>
      <c r="E128" s="13" t="s">
        <v>416</v>
      </c>
      <c r="F128" s="13" t="s">
        <v>258</v>
      </c>
      <c r="G128" s="13" t="s">
        <v>417</v>
      </c>
    </row>
    <row r="129" spans="4:7">
      <c r="D129" s="13" t="s">
        <v>214</v>
      </c>
      <c r="E129" s="13" t="s">
        <v>417</v>
      </c>
      <c r="F129" s="13" t="s">
        <v>259</v>
      </c>
      <c r="G129" s="13" t="s">
        <v>418</v>
      </c>
    </row>
    <row r="130" spans="4:7">
      <c r="D130" s="13" t="s">
        <v>215</v>
      </c>
      <c r="E130" s="13" t="s">
        <v>418</v>
      </c>
      <c r="F130" s="13" t="s">
        <v>260</v>
      </c>
      <c r="G130" s="13" t="s">
        <v>419</v>
      </c>
    </row>
    <row r="131" spans="4:7">
      <c r="D131" s="13" t="s">
        <v>216</v>
      </c>
      <c r="E131" s="13" t="s">
        <v>419</v>
      </c>
      <c r="F131" s="13" t="s">
        <v>261</v>
      </c>
      <c r="G131" s="13" t="s">
        <v>420</v>
      </c>
    </row>
    <row r="132" spans="4:7">
      <c r="D132" s="13" t="s">
        <v>217</v>
      </c>
      <c r="E132" s="13" t="s">
        <v>420</v>
      </c>
      <c r="F132" s="13" t="s">
        <v>262</v>
      </c>
      <c r="G132" s="13" t="s">
        <v>421</v>
      </c>
    </row>
    <row r="133" spans="4:7">
      <c r="D133" s="13" t="s">
        <v>248</v>
      </c>
      <c r="E133" s="13" t="s">
        <v>421</v>
      </c>
      <c r="F133" s="13" t="s">
        <v>263</v>
      </c>
      <c r="G133" s="13" t="s">
        <v>422</v>
      </c>
    </row>
    <row r="134" spans="4:7">
      <c r="D134" s="13" t="s">
        <v>249</v>
      </c>
      <c r="E134" s="13" t="s">
        <v>422</v>
      </c>
      <c r="F134" s="13" t="s">
        <v>264</v>
      </c>
      <c r="G134" s="13" t="s">
        <v>423</v>
      </c>
    </row>
    <row r="135" spans="4:7">
      <c r="D135" s="13" t="s">
        <v>250</v>
      </c>
      <c r="E135" s="13" t="s">
        <v>423</v>
      </c>
      <c r="F135" s="13" t="s">
        <v>265</v>
      </c>
      <c r="G135" s="13" t="s">
        <v>424</v>
      </c>
    </row>
    <row r="136" spans="4:7">
      <c r="D136" s="13" t="s">
        <v>251</v>
      </c>
      <c r="E136" s="13" t="s">
        <v>424</v>
      </c>
      <c r="F136" s="13" t="s">
        <v>266</v>
      </c>
      <c r="G136" s="13" t="s">
        <v>425</v>
      </c>
    </row>
    <row r="137" spans="4:7">
      <c r="D137" s="13" t="s">
        <v>252</v>
      </c>
      <c r="E137" s="13" t="s">
        <v>425</v>
      </c>
      <c r="F137" s="13" t="s">
        <v>267</v>
      </c>
      <c r="G137" s="13" t="s">
        <v>426</v>
      </c>
    </row>
    <row r="138" spans="4:7">
      <c r="D138" s="13" t="s">
        <v>253</v>
      </c>
      <c r="E138" s="13" t="s">
        <v>426</v>
      </c>
      <c r="F138" s="13" t="s">
        <v>268</v>
      </c>
      <c r="G138" s="13" t="s">
        <v>427</v>
      </c>
    </row>
    <row r="139" spans="4:7">
      <c r="D139" s="13" t="s">
        <v>254</v>
      </c>
      <c r="E139" s="13" t="s">
        <v>427</v>
      </c>
      <c r="F139" s="13" t="s">
        <v>269</v>
      </c>
      <c r="G139" s="13" t="s">
        <v>428</v>
      </c>
    </row>
    <row r="140" spans="4:7">
      <c r="D140" s="13" t="s">
        <v>255</v>
      </c>
      <c r="E140" s="13" t="s">
        <v>428</v>
      </c>
      <c r="F140" s="13" t="s">
        <v>270</v>
      </c>
      <c r="G140" s="13" t="s">
        <v>429</v>
      </c>
    </row>
    <row r="141" spans="4:7">
      <c r="D141" s="13" t="s">
        <v>256</v>
      </c>
      <c r="E141" s="13" t="s">
        <v>429</v>
      </c>
      <c r="F141" s="13" t="s">
        <v>271</v>
      </c>
      <c r="G141" s="13" t="s">
        <v>430</v>
      </c>
    </row>
    <row r="142" spans="4:7">
      <c r="D142" s="13" t="s">
        <v>257</v>
      </c>
      <c r="E142" s="13" t="s">
        <v>430</v>
      </c>
      <c r="F142" s="13" t="s">
        <v>272</v>
      </c>
      <c r="G142" s="13" t="s">
        <v>431</v>
      </c>
    </row>
    <row r="143" spans="4:7">
      <c r="D143" s="13" t="s">
        <v>258</v>
      </c>
      <c r="E143" s="13" t="s">
        <v>431</v>
      </c>
      <c r="F143" s="13" t="s">
        <v>273</v>
      </c>
      <c r="G143" s="13" t="s">
        <v>432</v>
      </c>
    </row>
    <row r="144" spans="4:7">
      <c r="D144" s="13" t="s">
        <v>259</v>
      </c>
      <c r="E144" s="13" t="s">
        <v>432</v>
      </c>
      <c r="F144" s="13" t="s">
        <v>274</v>
      </c>
      <c r="G144" s="13" t="s">
        <v>433</v>
      </c>
    </row>
    <row r="145" spans="4:7">
      <c r="D145" s="13" t="s">
        <v>260</v>
      </c>
      <c r="E145" s="13" t="s">
        <v>433</v>
      </c>
      <c r="F145" s="13" t="s">
        <v>275</v>
      </c>
      <c r="G145" s="13" t="s">
        <v>434</v>
      </c>
    </row>
    <row r="146" spans="4:7">
      <c r="D146" s="13" t="s">
        <v>261</v>
      </c>
      <c r="E146" s="13" t="s">
        <v>434</v>
      </c>
      <c r="F146" s="13" t="s">
        <v>276</v>
      </c>
      <c r="G146" s="13" t="s">
        <v>435</v>
      </c>
    </row>
    <row r="147" spans="4:7">
      <c r="D147" s="13" t="s">
        <v>262</v>
      </c>
      <c r="E147" s="13" t="s">
        <v>435</v>
      </c>
      <c r="F147" s="13" t="s">
        <v>277</v>
      </c>
      <c r="G147" s="13" t="s">
        <v>436</v>
      </c>
    </row>
    <row r="148" spans="4:7">
      <c r="D148" s="13" t="s">
        <v>263</v>
      </c>
      <c r="E148" s="13" t="s">
        <v>436</v>
      </c>
      <c r="F148" t="s">
        <v>883</v>
      </c>
      <c r="G148" s="13" t="s">
        <v>437</v>
      </c>
    </row>
    <row r="149" spans="4:7">
      <c r="D149" s="13" t="s">
        <v>264</v>
      </c>
      <c r="E149" s="13" t="s">
        <v>437</v>
      </c>
      <c r="F149" t="s">
        <v>885</v>
      </c>
      <c r="G149" s="13" t="s">
        <v>438</v>
      </c>
    </row>
    <row r="150" spans="4:7">
      <c r="D150" s="13" t="s">
        <v>265</v>
      </c>
      <c r="E150" s="13" t="s">
        <v>438</v>
      </c>
      <c r="F150" t="s">
        <v>886</v>
      </c>
      <c r="G150" s="13" t="s">
        <v>439</v>
      </c>
    </row>
    <row r="151" spans="4:7">
      <c r="D151" s="13" t="s">
        <v>266</v>
      </c>
      <c r="E151" s="13" t="s">
        <v>439</v>
      </c>
      <c r="F151" t="s">
        <v>887</v>
      </c>
      <c r="G151" s="13" t="s">
        <v>440</v>
      </c>
    </row>
    <row r="152" spans="4:7">
      <c r="D152" s="13" t="s">
        <v>267</v>
      </c>
      <c r="E152" s="13" t="s">
        <v>440</v>
      </c>
      <c r="F152" t="s">
        <v>888</v>
      </c>
      <c r="G152" s="13" t="s">
        <v>441</v>
      </c>
    </row>
    <row r="153" spans="4:7">
      <c r="D153" s="13" t="s">
        <v>268</v>
      </c>
      <c r="E153" s="13" t="s">
        <v>441</v>
      </c>
      <c r="F153" t="s">
        <v>889</v>
      </c>
      <c r="G153" s="13" t="s">
        <v>442</v>
      </c>
    </row>
    <row r="154" spans="4:7">
      <c r="D154" s="13" t="s">
        <v>269</v>
      </c>
      <c r="E154" s="13" t="s">
        <v>442</v>
      </c>
      <c r="F154" t="s">
        <v>890</v>
      </c>
      <c r="G154" s="13" t="s">
        <v>443</v>
      </c>
    </row>
    <row r="155" spans="4:7">
      <c r="D155" s="13" t="s">
        <v>270</v>
      </c>
      <c r="E155" s="13" t="s">
        <v>443</v>
      </c>
      <c r="F155" t="s">
        <v>891</v>
      </c>
      <c r="G155" s="13" t="s">
        <v>444</v>
      </c>
    </row>
    <row r="156" spans="4:7">
      <c r="D156" s="13" t="s">
        <v>271</v>
      </c>
      <c r="E156" s="13" t="s">
        <v>444</v>
      </c>
      <c r="F156" t="s">
        <v>892</v>
      </c>
      <c r="G156" s="13" t="s">
        <v>445</v>
      </c>
    </row>
    <row r="157" spans="4:7">
      <c r="D157" s="13" t="s">
        <v>272</v>
      </c>
      <c r="E157" s="13" t="s">
        <v>445</v>
      </c>
      <c r="F157" t="s">
        <v>893</v>
      </c>
      <c r="G157" s="13" t="s">
        <v>446</v>
      </c>
    </row>
    <row r="158" spans="4:7">
      <c r="D158" s="13" t="s">
        <v>273</v>
      </c>
      <c r="E158" s="13" t="s">
        <v>446</v>
      </c>
      <c r="F158" t="s">
        <v>894</v>
      </c>
      <c r="G158" s="13" t="s">
        <v>447</v>
      </c>
    </row>
    <row r="159" spans="4:7">
      <c r="D159" s="13" t="s">
        <v>274</v>
      </c>
      <c r="E159" s="13" t="s">
        <v>447</v>
      </c>
      <c r="F159" t="s">
        <v>895</v>
      </c>
      <c r="G159" s="13" t="s">
        <v>448</v>
      </c>
    </row>
    <row r="160" spans="4:7">
      <c r="D160" s="13" t="s">
        <v>275</v>
      </c>
      <c r="E160" s="13" t="s">
        <v>448</v>
      </c>
      <c r="F160" t="s">
        <v>896</v>
      </c>
      <c r="G160" s="13" t="s">
        <v>449</v>
      </c>
    </row>
    <row r="161" spans="4:7">
      <c r="D161" s="13" t="s">
        <v>276</v>
      </c>
      <c r="E161" s="13" t="s">
        <v>449</v>
      </c>
      <c r="F161" t="s">
        <v>897</v>
      </c>
      <c r="G161" s="13" t="s">
        <v>450</v>
      </c>
    </row>
    <row r="162" spans="4:7">
      <c r="D162" s="13" t="s">
        <v>277</v>
      </c>
      <c r="E162" s="13" t="s">
        <v>450</v>
      </c>
      <c r="F162" t="s">
        <v>898</v>
      </c>
      <c r="G162" s="13" t="s">
        <v>451</v>
      </c>
    </row>
    <row r="163" spans="4:7">
      <c r="D163" t="s">
        <v>883</v>
      </c>
      <c r="E163" s="13" t="s">
        <v>451</v>
      </c>
      <c r="F163" t="s">
        <v>899</v>
      </c>
      <c r="G163" s="13" t="s">
        <v>452</v>
      </c>
    </row>
    <row r="164" spans="4:7">
      <c r="D164" t="s">
        <v>885</v>
      </c>
      <c r="E164" s="13" t="s">
        <v>452</v>
      </c>
      <c r="F164" t="s">
        <v>900</v>
      </c>
      <c r="G164" s="13" t="s">
        <v>453</v>
      </c>
    </row>
    <row r="165" spans="4:7">
      <c r="D165" t="s">
        <v>886</v>
      </c>
      <c r="E165" s="13" t="s">
        <v>453</v>
      </c>
      <c r="F165" t="s">
        <v>901</v>
      </c>
      <c r="G165" s="13" t="s">
        <v>454</v>
      </c>
    </row>
    <row r="166" spans="4:7">
      <c r="D166" t="s">
        <v>887</v>
      </c>
      <c r="E166" s="13" t="s">
        <v>454</v>
      </c>
      <c r="F166" t="s">
        <v>902</v>
      </c>
      <c r="G166" s="13" t="s">
        <v>455</v>
      </c>
    </row>
    <row r="167" spans="4:7">
      <c r="D167" t="s">
        <v>888</v>
      </c>
      <c r="E167" s="13" t="s">
        <v>455</v>
      </c>
      <c r="F167" t="s">
        <v>903</v>
      </c>
      <c r="G167" s="13" t="s">
        <v>456</v>
      </c>
    </row>
    <row r="168" spans="4:7">
      <c r="D168" t="s">
        <v>889</v>
      </c>
      <c r="E168" s="13" t="s">
        <v>456</v>
      </c>
      <c r="F168" t="s">
        <v>904</v>
      </c>
      <c r="G168" s="13" t="s">
        <v>457</v>
      </c>
    </row>
    <row r="169" spans="4:7">
      <c r="D169" t="s">
        <v>890</v>
      </c>
      <c r="E169" s="13" t="s">
        <v>457</v>
      </c>
      <c r="F169" t="s">
        <v>905</v>
      </c>
      <c r="G169" s="45" t="s">
        <v>218</v>
      </c>
    </row>
    <row r="170" spans="4:7">
      <c r="D170" t="s">
        <v>891</v>
      </c>
      <c r="E170" s="45" t="s">
        <v>218</v>
      </c>
      <c r="F170" t="s">
        <v>906</v>
      </c>
      <c r="G170" s="45" t="s">
        <v>219</v>
      </c>
    </row>
    <row r="171" spans="4:7">
      <c r="D171" t="s">
        <v>892</v>
      </c>
      <c r="E171" s="45" t="s">
        <v>219</v>
      </c>
      <c r="F171" t="s">
        <v>907</v>
      </c>
      <c r="G171" s="45" t="s">
        <v>220</v>
      </c>
    </row>
    <row r="172" spans="4:7">
      <c r="D172" t="s">
        <v>893</v>
      </c>
      <c r="E172" s="45" t="s">
        <v>220</v>
      </c>
      <c r="F172" t="s">
        <v>908</v>
      </c>
      <c r="G172" s="45" t="s">
        <v>221</v>
      </c>
    </row>
    <row r="173" spans="4:7">
      <c r="D173" t="s">
        <v>894</v>
      </c>
      <c r="E173" s="45" t="s">
        <v>221</v>
      </c>
      <c r="F173" t="s">
        <v>909</v>
      </c>
      <c r="G173" s="45" t="s">
        <v>222</v>
      </c>
    </row>
    <row r="174" spans="4:7">
      <c r="D174" t="s">
        <v>895</v>
      </c>
      <c r="E174" s="45" t="s">
        <v>222</v>
      </c>
      <c r="F174" t="s">
        <v>910</v>
      </c>
      <c r="G174" s="45" t="s">
        <v>223</v>
      </c>
    </row>
    <row r="175" spans="4:7">
      <c r="D175" t="s">
        <v>896</v>
      </c>
      <c r="E175" s="45" t="s">
        <v>223</v>
      </c>
      <c r="F175" t="s">
        <v>911</v>
      </c>
      <c r="G175" s="45" t="s">
        <v>224</v>
      </c>
    </row>
    <row r="176" spans="4:7">
      <c r="D176" t="s">
        <v>897</v>
      </c>
      <c r="E176" s="45" t="s">
        <v>224</v>
      </c>
      <c r="F176" t="s">
        <v>912</v>
      </c>
      <c r="G176" s="45" t="s">
        <v>225</v>
      </c>
    </row>
    <row r="177" spans="4:7">
      <c r="D177" t="s">
        <v>898</v>
      </c>
      <c r="E177" s="45" t="s">
        <v>225</v>
      </c>
      <c r="F177" t="s">
        <v>913</v>
      </c>
      <c r="G177" s="45" t="s">
        <v>226</v>
      </c>
    </row>
    <row r="178" spans="4:7">
      <c r="D178" t="s">
        <v>899</v>
      </c>
      <c r="E178" s="45" t="s">
        <v>226</v>
      </c>
      <c r="F178" s="13" t="s">
        <v>884</v>
      </c>
      <c r="G178" s="45" t="s">
        <v>227</v>
      </c>
    </row>
    <row r="179" spans="4:7">
      <c r="D179" t="s">
        <v>900</v>
      </c>
      <c r="E179" s="45" t="s">
        <v>227</v>
      </c>
      <c r="F179" s="13" t="s">
        <v>914</v>
      </c>
      <c r="G179" s="45" t="s">
        <v>228</v>
      </c>
    </row>
    <row r="180" spans="4:7">
      <c r="D180" t="s">
        <v>901</v>
      </c>
      <c r="E180" s="45" t="s">
        <v>228</v>
      </c>
      <c r="F180" s="13" t="s">
        <v>915</v>
      </c>
      <c r="G180" s="45" t="s">
        <v>229</v>
      </c>
    </row>
    <row r="181" spans="4:7">
      <c r="D181" t="s">
        <v>902</v>
      </c>
      <c r="E181" s="45" t="s">
        <v>229</v>
      </c>
      <c r="F181" s="13" t="s">
        <v>916</v>
      </c>
      <c r="G181" s="45" t="s">
        <v>230</v>
      </c>
    </row>
    <row r="182" spans="4:7">
      <c r="D182" t="s">
        <v>903</v>
      </c>
      <c r="E182" s="45" t="s">
        <v>230</v>
      </c>
      <c r="F182" s="13" t="s">
        <v>917</v>
      </c>
      <c r="G182" s="45" t="s">
        <v>231</v>
      </c>
    </row>
    <row r="183" spans="4:7">
      <c r="D183" t="s">
        <v>904</v>
      </c>
      <c r="E183" s="45" t="s">
        <v>231</v>
      </c>
      <c r="F183" s="13" t="s">
        <v>918</v>
      </c>
      <c r="G183" s="45" t="s">
        <v>232</v>
      </c>
    </row>
    <row r="184" spans="4:7">
      <c r="D184" t="s">
        <v>905</v>
      </c>
      <c r="E184" s="45" t="s">
        <v>232</v>
      </c>
      <c r="F184" s="13" t="s">
        <v>919</v>
      </c>
      <c r="G184" s="45" t="s">
        <v>233</v>
      </c>
    </row>
    <row r="185" spans="4:7">
      <c r="D185" t="s">
        <v>906</v>
      </c>
      <c r="E185" s="45" t="s">
        <v>233</v>
      </c>
      <c r="F185" s="13" t="s">
        <v>920</v>
      </c>
      <c r="G185" s="45" t="s">
        <v>234</v>
      </c>
    </row>
    <row r="186" spans="4:7">
      <c r="D186" t="s">
        <v>907</v>
      </c>
      <c r="E186" s="45" t="s">
        <v>234</v>
      </c>
      <c r="F186" s="13" t="s">
        <v>921</v>
      </c>
      <c r="G186" s="45" t="s">
        <v>235</v>
      </c>
    </row>
    <row r="187" spans="4:7">
      <c r="D187" t="s">
        <v>908</v>
      </c>
      <c r="E187" s="45" t="s">
        <v>235</v>
      </c>
      <c r="F187" s="13" t="s">
        <v>922</v>
      </c>
      <c r="G187" s="45" t="s">
        <v>236</v>
      </c>
    </row>
    <row r="188" spans="4:7">
      <c r="D188" t="s">
        <v>909</v>
      </c>
      <c r="E188" s="45" t="s">
        <v>236</v>
      </c>
      <c r="F188" s="13" t="s">
        <v>923</v>
      </c>
      <c r="G188" s="45" t="s">
        <v>237</v>
      </c>
    </row>
    <row r="189" spans="4:7">
      <c r="D189" t="s">
        <v>910</v>
      </c>
      <c r="E189" s="45" t="s">
        <v>237</v>
      </c>
      <c r="F189" s="13" t="s">
        <v>924</v>
      </c>
      <c r="G189" s="45" t="s">
        <v>238</v>
      </c>
    </row>
    <row r="190" spans="4:7">
      <c r="D190" t="s">
        <v>911</v>
      </c>
      <c r="E190" s="45" t="s">
        <v>238</v>
      </c>
      <c r="F190" s="13" t="s">
        <v>925</v>
      </c>
      <c r="G190" s="45" t="s">
        <v>239</v>
      </c>
    </row>
    <row r="191" spans="4:7">
      <c r="D191" t="s">
        <v>912</v>
      </c>
      <c r="E191" s="45" t="s">
        <v>239</v>
      </c>
      <c r="F191" s="13" t="s">
        <v>926</v>
      </c>
      <c r="G191" s="45" t="s">
        <v>240</v>
      </c>
    </row>
    <row r="192" spans="4:7">
      <c r="D192" t="s">
        <v>913</v>
      </c>
      <c r="F192" s="13" t="s">
        <v>927</v>
      </c>
      <c r="G192" s="45" t="s">
        <v>241</v>
      </c>
    </row>
    <row r="193" spans="4:7">
      <c r="D193" s="13" t="s">
        <v>884</v>
      </c>
      <c r="F193" s="13" t="s">
        <v>928</v>
      </c>
      <c r="G193" s="45" t="s">
        <v>242</v>
      </c>
    </row>
    <row r="194" spans="4:7">
      <c r="D194" s="13" t="s">
        <v>914</v>
      </c>
      <c r="F194" s="13" t="s">
        <v>929</v>
      </c>
      <c r="G194" s="45" t="s">
        <v>243</v>
      </c>
    </row>
    <row r="195" spans="4:7">
      <c r="D195" s="13" t="s">
        <v>915</v>
      </c>
      <c r="F195" s="13" t="s">
        <v>930</v>
      </c>
      <c r="G195" s="45" t="s">
        <v>244</v>
      </c>
    </row>
    <row r="196" spans="4:7">
      <c r="D196" s="13" t="s">
        <v>916</v>
      </c>
      <c r="F196" s="13" t="s">
        <v>931</v>
      </c>
      <c r="G196" s="45" t="s">
        <v>245</v>
      </c>
    </row>
    <row r="197" spans="4:7">
      <c r="D197" s="13" t="s">
        <v>917</v>
      </c>
      <c r="F197" s="13" t="s">
        <v>932</v>
      </c>
      <c r="G197" s="45" t="s">
        <v>246</v>
      </c>
    </row>
    <row r="198" spans="4:7">
      <c r="D198" s="13" t="s">
        <v>918</v>
      </c>
      <c r="F198" s="13" t="s">
        <v>933</v>
      </c>
      <c r="G198" s="45" t="s">
        <v>247</v>
      </c>
    </row>
    <row r="199" spans="4:7">
      <c r="D199" s="13" t="s">
        <v>919</v>
      </c>
      <c r="F199" s="13" t="s">
        <v>934</v>
      </c>
      <c r="G199" s="13" t="s">
        <v>99</v>
      </c>
    </row>
    <row r="200" spans="4:7">
      <c r="D200" s="13" t="s">
        <v>920</v>
      </c>
      <c r="F200" s="13" t="s">
        <v>935</v>
      </c>
      <c r="G200" s="13" t="s">
        <v>100</v>
      </c>
    </row>
    <row r="201" spans="4:7">
      <c r="D201" s="13" t="s">
        <v>921</v>
      </c>
      <c r="F201" s="13" t="s">
        <v>936</v>
      </c>
      <c r="G201" s="13" t="s">
        <v>101</v>
      </c>
    </row>
    <row r="202" spans="4:7">
      <c r="D202" s="13" t="s">
        <v>922</v>
      </c>
      <c r="F202" s="13" t="s">
        <v>937</v>
      </c>
      <c r="G202" s="13" t="s">
        <v>102</v>
      </c>
    </row>
    <row r="203" spans="4:7">
      <c r="D203" s="13" t="s">
        <v>923</v>
      </c>
      <c r="F203" s="13" t="s">
        <v>938</v>
      </c>
      <c r="G203" s="13" t="s">
        <v>103</v>
      </c>
    </row>
    <row r="204" spans="4:7">
      <c r="D204" s="13" t="s">
        <v>924</v>
      </c>
      <c r="F204" s="13" t="s">
        <v>939</v>
      </c>
      <c r="G204" s="13" t="s">
        <v>104</v>
      </c>
    </row>
    <row r="205" spans="4:7">
      <c r="D205" s="13" t="s">
        <v>925</v>
      </c>
      <c r="F205" s="13" t="s">
        <v>940</v>
      </c>
      <c r="G205" s="13"/>
    </row>
    <row r="206" spans="4:7">
      <c r="D206" s="13" t="s">
        <v>926</v>
      </c>
      <c r="F206" s="13" t="s">
        <v>941</v>
      </c>
    </row>
    <row r="207" spans="4:7">
      <c r="D207" s="13" t="s">
        <v>927</v>
      </c>
      <c r="F207" s="13" t="s">
        <v>942</v>
      </c>
    </row>
    <row r="208" spans="4:7">
      <c r="D208" s="13" t="s">
        <v>928</v>
      </c>
      <c r="F208" s="13" t="s">
        <v>278</v>
      </c>
    </row>
    <row r="209" spans="4:6">
      <c r="D209" s="13" t="s">
        <v>929</v>
      </c>
      <c r="F209" s="13" t="s">
        <v>279</v>
      </c>
    </row>
    <row r="210" spans="4:6">
      <c r="D210" s="13" t="s">
        <v>930</v>
      </c>
      <c r="F210" s="13" t="s">
        <v>280</v>
      </c>
    </row>
    <row r="211" spans="4:6">
      <c r="D211" s="13" t="s">
        <v>931</v>
      </c>
      <c r="F211" s="13" t="s">
        <v>281</v>
      </c>
    </row>
    <row r="212" spans="4:6">
      <c r="D212" s="13" t="s">
        <v>932</v>
      </c>
      <c r="F212" s="13" t="s">
        <v>282</v>
      </c>
    </row>
    <row r="213" spans="4:6">
      <c r="D213" s="13" t="s">
        <v>933</v>
      </c>
      <c r="F213" s="13" t="s">
        <v>283</v>
      </c>
    </row>
    <row r="214" spans="4:6">
      <c r="D214" s="13" t="s">
        <v>934</v>
      </c>
      <c r="F214" s="13" t="s">
        <v>284</v>
      </c>
    </row>
    <row r="215" spans="4:6">
      <c r="D215" s="13" t="s">
        <v>935</v>
      </c>
      <c r="F215" s="13" t="s">
        <v>285</v>
      </c>
    </row>
    <row r="216" spans="4:6">
      <c r="D216" s="13" t="s">
        <v>936</v>
      </c>
      <c r="F216" s="13" t="s">
        <v>286</v>
      </c>
    </row>
    <row r="217" spans="4:6">
      <c r="D217" s="13" t="s">
        <v>937</v>
      </c>
      <c r="F217" s="13" t="s">
        <v>287</v>
      </c>
    </row>
    <row r="218" spans="4:6">
      <c r="D218" s="13" t="s">
        <v>938</v>
      </c>
      <c r="F218" s="13" t="s">
        <v>288</v>
      </c>
    </row>
    <row r="219" spans="4:6">
      <c r="D219" s="13" t="s">
        <v>939</v>
      </c>
      <c r="F219" s="13" t="s">
        <v>289</v>
      </c>
    </row>
    <row r="220" spans="4:6">
      <c r="D220" s="13" t="s">
        <v>940</v>
      </c>
      <c r="F220" s="13" t="s">
        <v>290</v>
      </c>
    </row>
    <row r="221" spans="4:6">
      <c r="D221" s="13" t="s">
        <v>941</v>
      </c>
      <c r="F221" s="13" t="s">
        <v>291</v>
      </c>
    </row>
    <row r="222" spans="4:6">
      <c r="D222" s="13" t="s">
        <v>942</v>
      </c>
      <c r="F222" s="13" t="s">
        <v>292</v>
      </c>
    </row>
    <row r="223" spans="4:6">
      <c r="D223" s="13" t="s">
        <v>278</v>
      </c>
    </row>
    <row r="224" spans="4:6">
      <c r="D224" s="13" t="s">
        <v>279</v>
      </c>
    </row>
    <row r="225" spans="4:4">
      <c r="D225" s="13" t="s">
        <v>280</v>
      </c>
    </row>
    <row r="226" spans="4:4">
      <c r="D226" s="13" t="s">
        <v>281</v>
      </c>
    </row>
    <row r="227" spans="4:4">
      <c r="D227" s="13" t="s">
        <v>282</v>
      </c>
    </row>
    <row r="228" spans="4:4">
      <c r="D228" s="13" t="s">
        <v>283</v>
      </c>
    </row>
    <row r="229" spans="4:4">
      <c r="D229" s="13" t="s">
        <v>284</v>
      </c>
    </row>
    <row r="230" spans="4:4">
      <c r="D230" s="13" t="s">
        <v>285</v>
      </c>
    </row>
    <row r="231" spans="4:4">
      <c r="D231" s="13" t="s">
        <v>286</v>
      </c>
    </row>
    <row r="232" spans="4:4">
      <c r="D232" s="13" t="s">
        <v>287</v>
      </c>
    </row>
    <row r="233" spans="4:4">
      <c r="D233" s="13" t="s">
        <v>288</v>
      </c>
    </row>
    <row r="234" spans="4:4">
      <c r="D234" s="13" t="s">
        <v>289</v>
      </c>
    </row>
    <row r="235" spans="4:4">
      <c r="D235" s="13" t="s">
        <v>290</v>
      </c>
    </row>
    <row r="236" spans="4:4">
      <c r="D236" s="13" t="s">
        <v>291</v>
      </c>
    </row>
    <row r="237" spans="4:4">
      <c r="D237" s="13" t="s">
        <v>292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2019-04-20T17:53:01Z</dcterms:modified>
</cp:coreProperties>
</file>